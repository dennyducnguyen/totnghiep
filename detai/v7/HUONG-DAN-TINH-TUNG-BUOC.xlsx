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thongke\detai\v6\"/>
    </mc:Choice>
  </mc:AlternateContent>
  <xr:revisionPtr revIDLastSave="0" documentId="13_ncr:1_{963D88BB-E220-4BC1-B364-CCD20B89EC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_Huong_dan" sheetId="1" r:id="rId1"/>
    <sheet name="1_Du_lieu" sheetId="2" r:id="rId2"/>
    <sheet name="2_EBI_tuong_doi" sheetId="3" r:id="rId3"/>
    <sheet name="3_Gini" sheetId="4" r:id="rId4"/>
    <sheet name="4_CV_sigma" sheetId="5" r:id="rId5"/>
    <sheet name="5_Theil_phan_ra" sheetId="6" r:id="rId6"/>
    <sheet name="6_Gini_tru_cot" sheetId="7" r:id="rId7"/>
    <sheet name="7_Beta_hoi_tu" sheetId="8" r:id="rId8"/>
    <sheet name="8_OLS" sheetId="9" r:id="rId9"/>
    <sheet name="9_Oaxaca" sheetId="10" r:id="rId10"/>
  </sheets>
  <calcPr calcId="191029"/>
</workbook>
</file>

<file path=xl/calcChain.xml><?xml version="1.0" encoding="utf-8"?>
<calcChain xmlns="http://schemas.openxmlformats.org/spreadsheetml/2006/main">
  <c r="D9" i="10" l="1"/>
  <c r="C9" i="10"/>
  <c r="D8" i="10"/>
  <c r="C8" i="10"/>
  <c r="D7" i="10"/>
  <c r="C7" i="10"/>
  <c r="D6" i="10"/>
  <c r="C6" i="10"/>
  <c r="C12" i="10" s="1"/>
  <c r="D5" i="10"/>
  <c r="C5" i="10"/>
  <c r="D4" i="10"/>
  <c r="B15" i="10" s="1"/>
  <c r="C4" i="10"/>
  <c r="B12" i="10" s="1"/>
  <c r="C9" i="9"/>
  <c r="B9" i="9"/>
  <c r="C8" i="9"/>
  <c r="B8" i="9"/>
  <c r="C7" i="9"/>
  <c r="B7" i="9"/>
  <c r="C6" i="9"/>
  <c r="B6" i="9"/>
  <c r="C5" i="9"/>
  <c r="B5" i="9"/>
  <c r="C4" i="9"/>
  <c r="B4" i="9"/>
  <c r="E9" i="8"/>
  <c r="C9" i="8"/>
  <c r="B9" i="8"/>
  <c r="D9" i="8" s="1"/>
  <c r="C8" i="8"/>
  <c r="E8" i="8" s="1"/>
  <c r="B8" i="8"/>
  <c r="D8" i="8" s="1"/>
  <c r="D7" i="8"/>
  <c r="C7" i="8"/>
  <c r="E7" i="8" s="1"/>
  <c r="F7" i="8" s="1"/>
  <c r="B7" i="8"/>
  <c r="C6" i="8"/>
  <c r="E6" i="8" s="1"/>
  <c r="B6" i="8"/>
  <c r="D6" i="8" s="1"/>
  <c r="E5" i="8"/>
  <c r="C5" i="8"/>
  <c r="B5" i="8"/>
  <c r="D5" i="8" s="1"/>
  <c r="C4" i="8"/>
  <c r="E4" i="8" s="1"/>
  <c r="B4" i="8"/>
  <c r="D4" i="8" s="1"/>
  <c r="I9" i="7"/>
  <c r="D9" i="7"/>
  <c r="G9" i="7" s="1"/>
  <c r="C9" i="7"/>
  <c r="F9" i="7" s="1"/>
  <c r="B9" i="7"/>
  <c r="E9" i="7" s="1"/>
  <c r="I8" i="7"/>
  <c r="G8" i="7"/>
  <c r="D8" i="7"/>
  <c r="C8" i="7"/>
  <c r="F8" i="7" s="1"/>
  <c r="B8" i="7"/>
  <c r="E8" i="7" s="1"/>
  <c r="I7" i="7"/>
  <c r="D7" i="7"/>
  <c r="G7" i="7" s="1"/>
  <c r="C7" i="7"/>
  <c r="F7" i="7" s="1"/>
  <c r="B7" i="7"/>
  <c r="E7" i="7" s="1"/>
  <c r="I6" i="7"/>
  <c r="G6" i="7"/>
  <c r="D6" i="7"/>
  <c r="C6" i="7"/>
  <c r="F6" i="7" s="1"/>
  <c r="B6" i="7"/>
  <c r="E6" i="7" s="1"/>
  <c r="I5" i="7"/>
  <c r="D5" i="7"/>
  <c r="G5" i="7" s="1"/>
  <c r="C5" i="7"/>
  <c r="F5" i="7" s="1"/>
  <c r="L5" i="7" s="1"/>
  <c r="B5" i="7"/>
  <c r="E5" i="7" s="1"/>
  <c r="I4" i="7"/>
  <c r="G4" i="7"/>
  <c r="M4" i="7" s="1"/>
  <c r="D4" i="7"/>
  <c r="C4" i="7"/>
  <c r="F4" i="7" s="1"/>
  <c r="B4" i="7"/>
  <c r="E4" i="7" s="1"/>
  <c r="C17" i="6"/>
  <c r="B17" i="6"/>
  <c r="B16" i="6"/>
  <c r="C9" i="6"/>
  <c r="C8" i="6"/>
  <c r="C7" i="6"/>
  <c r="C6" i="6"/>
  <c r="C5" i="6"/>
  <c r="C4" i="6"/>
  <c r="C11" i="6" s="1"/>
  <c r="D8" i="5"/>
  <c r="C8" i="5"/>
  <c r="B8" i="5"/>
  <c r="C7" i="5"/>
  <c r="D7" i="5" s="1"/>
  <c r="B7" i="5"/>
  <c r="D6" i="5"/>
  <c r="C6" i="5"/>
  <c r="B6" i="5"/>
  <c r="C5" i="5"/>
  <c r="D5" i="5" s="1"/>
  <c r="B5" i="5"/>
  <c r="C4" i="5"/>
  <c r="D4" i="5" s="1"/>
  <c r="B4" i="5"/>
  <c r="C3" i="5"/>
  <c r="D3" i="5" s="1"/>
  <c r="B3" i="5"/>
  <c r="C9" i="4"/>
  <c r="D9" i="4" s="1"/>
  <c r="C8" i="4"/>
  <c r="D8" i="4" s="1"/>
  <c r="C7" i="4"/>
  <c r="D7" i="4" s="1"/>
  <c r="C6" i="4"/>
  <c r="D6" i="4" s="1"/>
  <c r="C5" i="4"/>
  <c r="D5" i="4" s="1"/>
  <c r="C4" i="4"/>
  <c r="B11" i="3"/>
  <c r="C11" i="3" s="1"/>
  <c r="D11" i="3" s="1"/>
  <c r="B10" i="3"/>
  <c r="C10" i="3" s="1"/>
  <c r="D10" i="3" s="1"/>
  <c r="B9" i="3"/>
  <c r="C9" i="3" s="1"/>
  <c r="D9" i="3" s="1"/>
  <c r="B8" i="3"/>
  <c r="C8" i="3" s="1"/>
  <c r="D8" i="3" s="1"/>
  <c r="C7" i="3"/>
  <c r="D7" i="3" s="1"/>
  <c r="B7" i="3"/>
  <c r="B6" i="3"/>
  <c r="C6" i="3" s="1"/>
  <c r="D6" i="3" s="1"/>
  <c r="C14" i="7" l="1"/>
  <c r="M5" i="7"/>
  <c r="M8" i="7"/>
  <c r="M6" i="7"/>
  <c r="M9" i="7"/>
  <c r="M7" i="7"/>
  <c r="D6" i="6"/>
  <c r="C15" i="10"/>
  <c r="B12" i="4"/>
  <c r="C14" i="4" s="1"/>
  <c r="D5" i="6"/>
  <c r="E5" i="6" s="1"/>
  <c r="F5" i="6" s="1"/>
  <c r="D8" i="9"/>
  <c r="D7" i="6"/>
  <c r="D9" i="9"/>
  <c r="B12" i="9"/>
  <c r="C10" i="6"/>
  <c r="D9" i="6" s="1"/>
  <c r="C12" i="9"/>
  <c r="E4" i="9" s="1"/>
  <c r="G17" i="6"/>
  <c r="B11" i="5"/>
  <c r="F6" i="8"/>
  <c r="D5" i="9"/>
  <c r="G5" i="9" s="1"/>
  <c r="B13" i="10"/>
  <c r="B17" i="10" s="1"/>
  <c r="D17" i="10" s="1"/>
  <c r="D17" i="6"/>
  <c r="H17" i="6" s="1"/>
  <c r="D13" i="5"/>
  <c r="C16" i="6"/>
  <c r="G16" i="6" s="1"/>
  <c r="C13" i="10"/>
  <c r="C13" i="7"/>
  <c r="L4" i="7"/>
  <c r="L6" i="7"/>
  <c r="L8" i="7"/>
  <c r="D13" i="8"/>
  <c r="G5" i="8" s="1"/>
  <c r="G4" i="8"/>
  <c r="F4" i="8"/>
  <c r="K4" i="7"/>
  <c r="H4" i="7"/>
  <c r="C12" i="7"/>
  <c r="K6" i="7"/>
  <c r="H6" i="7"/>
  <c r="H8" i="7"/>
  <c r="K8" i="7"/>
  <c r="F8" i="8"/>
  <c r="F6" i="6"/>
  <c r="G8" i="9"/>
  <c r="G9" i="9"/>
  <c r="F9" i="8"/>
  <c r="E9" i="9"/>
  <c r="F9" i="9" s="1"/>
  <c r="G7" i="8"/>
  <c r="H5" i="7"/>
  <c r="K5" i="7"/>
  <c r="H7" i="7"/>
  <c r="K7" i="7"/>
  <c r="K9" i="7"/>
  <c r="H9" i="7"/>
  <c r="F5" i="8"/>
  <c r="D6" i="9"/>
  <c r="D7" i="9"/>
  <c r="B18" i="10"/>
  <c r="L7" i="7"/>
  <c r="L9" i="7"/>
  <c r="E7" i="9"/>
  <c r="D14" i="9"/>
  <c r="D4" i="6"/>
  <c r="E17" i="6"/>
  <c r="B14" i="10"/>
  <c r="E6" i="6"/>
  <c r="E9" i="6"/>
  <c r="F9" i="6" s="1"/>
  <c r="D4" i="9"/>
  <c r="D15" i="9"/>
  <c r="C14" i="10"/>
  <c r="E8" i="9"/>
  <c r="D16" i="9"/>
  <c r="B17" i="9"/>
  <c r="E16" i="6"/>
  <c r="C10" i="4"/>
  <c r="B10" i="5"/>
  <c r="B12" i="5" s="1"/>
  <c r="D4" i="4"/>
  <c r="D10" i="4" s="1"/>
  <c r="C10" i="5"/>
  <c r="C11" i="5"/>
  <c r="F7" i="6" l="1"/>
  <c r="B19" i="10"/>
  <c r="B21" i="10" s="1"/>
  <c r="G8" i="8"/>
  <c r="C13" i="4"/>
  <c r="C15" i="4" s="1"/>
  <c r="D16" i="6"/>
  <c r="H16" i="6" s="1"/>
  <c r="J9" i="7"/>
  <c r="F16" i="6"/>
  <c r="F18" i="6" s="1"/>
  <c r="F17" i="6"/>
  <c r="E7" i="6"/>
  <c r="E6" i="9"/>
  <c r="E5" i="9"/>
  <c r="F8" i="9"/>
  <c r="F5" i="9"/>
  <c r="G9" i="8"/>
  <c r="D8" i="6"/>
  <c r="J5" i="8"/>
  <c r="J8" i="7"/>
  <c r="H18" i="6"/>
  <c r="B19" i="8"/>
  <c r="D18" i="8"/>
  <c r="F13" i="8"/>
  <c r="H8" i="8" s="1"/>
  <c r="I8" i="8" s="1"/>
  <c r="D17" i="8"/>
  <c r="F6" i="9"/>
  <c r="G6" i="9"/>
  <c r="J6" i="7"/>
  <c r="B22" i="10"/>
  <c r="C22" i="10" s="1"/>
  <c r="B20" i="10"/>
  <c r="J9" i="8"/>
  <c r="G7" i="9"/>
  <c r="F7" i="9"/>
  <c r="J4" i="8"/>
  <c r="E4" i="6"/>
  <c r="F4" i="6" s="1"/>
  <c r="J7" i="7"/>
  <c r="J4" i="7"/>
  <c r="B14" i="7"/>
  <c r="E16" i="7"/>
  <c r="B13" i="7"/>
  <c r="G4" i="9"/>
  <c r="F4" i="9"/>
  <c r="J7" i="8"/>
  <c r="J8" i="8"/>
  <c r="C12" i="5"/>
  <c r="B14" i="5" s="1"/>
  <c r="G6" i="8"/>
  <c r="J5" i="7"/>
  <c r="B12" i="7"/>
  <c r="F12" i="9" l="1"/>
  <c r="E8" i="6"/>
  <c r="F8" i="6" s="1"/>
  <c r="F12" i="6" s="1"/>
  <c r="F22" i="6" s="1"/>
  <c r="H9" i="8"/>
  <c r="I9" i="8" s="1"/>
  <c r="F19" i="6"/>
  <c r="F21" i="6"/>
  <c r="H4" i="8"/>
  <c r="I4" i="8" s="1"/>
  <c r="G12" i="9"/>
  <c r="F20" i="6"/>
  <c r="B14" i="9"/>
  <c r="H6" i="8"/>
  <c r="I6" i="8" s="1"/>
  <c r="H7" i="8"/>
  <c r="I7" i="8" s="1"/>
  <c r="J6" i="8"/>
  <c r="J13" i="8" s="1"/>
  <c r="D14" i="7"/>
  <c r="E14" i="7" s="1"/>
  <c r="D13" i="7"/>
  <c r="E13" i="7" s="1"/>
  <c r="D12" i="7"/>
  <c r="E12" i="7" s="1"/>
  <c r="H5" i="8"/>
  <c r="I5" i="8" s="1"/>
  <c r="F13" i="7" l="1"/>
  <c r="G21" i="6"/>
  <c r="F12" i="7"/>
  <c r="E15" i="7"/>
  <c r="I13" i="8"/>
  <c r="B17" i="8" s="1"/>
  <c r="F14" i="7"/>
  <c r="B20" i="9"/>
  <c r="B18" i="9"/>
  <c r="B19" i="9" s="1"/>
  <c r="B15" i="9"/>
  <c r="H7" i="9" l="1"/>
  <c r="I7" i="9" s="1"/>
  <c r="J7" i="9" s="1"/>
  <c r="H8" i="9"/>
  <c r="I8" i="9" s="1"/>
  <c r="J8" i="9" s="1"/>
  <c r="H4" i="9"/>
  <c r="I4" i="9" s="1"/>
  <c r="J4" i="9" s="1"/>
  <c r="H9" i="9"/>
  <c r="I9" i="9" s="1"/>
  <c r="J9" i="9" s="1"/>
  <c r="H5" i="9"/>
  <c r="I5" i="9" s="1"/>
  <c r="J5" i="9" s="1"/>
  <c r="H6" i="9"/>
  <c r="I6" i="9" s="1"/>
  <c r="J6" i="9" s="1"/>
  <c r="B20" i="8"/>
  <c r="B23" i="8"/>
  <c r="B18" i="8"/>
  <c r="J12" i="9" l="1"/>
  <c r="B16" i="9" s="1"/>
  <c r="B22" i="8"/>
  <c r="B21" i="8"/>
</calcChain>
</file>

<file path=xl/sharedStrings.xml><?xml version="1.0" encoding="utf-8"?>
<sst xmlns="http://schemas.openxmlformats.org/spreadsheetml/2006/main" count="254" uniqueCount="165">
  <si>
    <t>SỔ TÍNH MINH HOẠ TỪNG BƯỚC – 6 TỈNH, SỐ THẬT NĂM 2021 &amp; 2024</t>
  </si>
  <si>
    <t>Mỗi sheet là một phương pháp trong bài báo. Ô màu VÀNG = số liệu đầu vào; ô màu XANH = công thức Excel (bấm vào ô để xem công thức); ô XÁM = kết quả cuối.</t>
  </si>
  <si>
    <t>Bộ số ví dụ: 6 tỉnh Hà Nội, Bình Dương (vùng lõi) và Đà Nẵng, Cần Thơ, Lâm Đồng, Thái Nguyên (vùng ngoại vi), lấy đúng số trong panel_phan_tich.csv.</t>
  </si>
  <si>
    <t>Kết quả trên 6 tỉnh chỉ để HIỂU CÁCH TÍNH; con số trong bài báo tính trên 54–58 tỉnh mỗi năm (xem cột "Trong bài báo" ở mỗi sheet).</t>
  </si>
  <si>
    <t>Đọc kèm file Word HUONG-DAN-TINH-TUNG-BUOC.docx: Word giải thích ý nghĩa và diễn giải; Excel cho thấy phép tính chạy thật.</t>
  </si>
  <si>
    <t>Sheet: 1_Du_lieu → 2_EBI_tuong_doi → 3_Gini → 4_CV_sigma → 5_Theil_phan_ra → 6_Gini_tru_cot → 7_Beta_hoi_tu → 8_OLS → 9_Oaxaca.</t>
  </si>
  <si>
    <t>Bảng số liệu gốc của 6 tỉnh (trích panel_phan_tich.csv)</t>
  </si>
  <si>
    <t>Tỉnh</t>
  </si>
  <si>
    <t>Vùng (Niên giám)</t>
  </si>
  <si>
    <t>Nhóm ví dụ</t>
  </si>
  <si>
    <t>EBI 2024</t>
  </si>
  <si>
    <t>NNL&amp;HT 2024</t>
  </si>
  <si>
    <t>B2C 2024</t>
  </si>
  <si>
    <t>B2B 2024</t>
  </si>
  <si>
    <t>EBI 2021</t>
  </si>
  <si>
    <t>DN/1.000 dân 2024</t>
  </si>
  <si>
    <t>GRDP/người 2024 (tr.đ)</t>
  </si>
  <si>
    <t>Hà Nội</t>
  </si>
  <si>
    <t>ĐB sông Hồng</t>
  </si>
  <si>
    <t>Lõi</t>
  </si>
  <si>
    <t>Bình Dương</t>
  </si>
  <si>
    <t>Đông Nam Bộ</t>
  </si>
  <si>
    <t>Đà Nẵng</t>
  </si>
  <si>
    <t>BTB &amp; DH miền Trung</t>
  </si>
  <si>
    <t>Ngoại vi</t>
  </si>
  <si>
    <t>Cần Thơ</t>
  </si>
  <si>
    <t>ĐB sông Cửu Long</t>
  </si>
  <si>
    <t>Lâm Đồng</t>
  </si>
  <si>
    <t>Tây Nguyên</t>
  </si>
  <si>
    <t>Thái Nguyên</t>
  </si>
  <si>
    <t>TD &amp; MN phía Bắc</t>
  </si>
  <si>
    <t>Các sheet sau tham chiếu trực tiếp vào vùng ô D–J của sheet này. Vùng: ĐBSH = Đồng bằng sông Hồng; ĐNB = Đông Nam Bộ; BTB&amp;DHMT = Bắc Trung Bộ và Duyên hải miền Trung; TN = Tây Nguyên; TDMNPB = Trung du và miền núi phía Bắc; ĐBSCL = Đồng bằng sông Cửu Long.</t>
  </si>
  <si>
    <t>EBI tương đối = EBI của tỉnh / trung bình các tỉnh có số liệu trong năm × 100   (Bảng 2, Hình 2)</t>
  </si>
  <si>
    <t>Trung bình EBI của 58 tỉnh năm 2024 (tính trên toàn bộ dữ liệu):</t>
  </si>
  <si>
    <t>(Trong ví dụ này trung bình lấy từ 58 tỉnh, không phải 6 tỉnh, để số EBI tương đối khớp với bài)</t>
  </si>
  <si>
    <t>EBI tương đối</t>
  </si>
  <si>
    <t>Đọc kết quả</t>
  </si>
  <si>
    <t>Hệ số Gini theo công thức thứ hạng   (Bảng 3, Bảng 4)</t>
  </si>
  <si>
    <t>G = 2·Σ(j·y_j) / (N·Σy_j) − (N+1)/N, với y đã SẮP TĂNG DẦN và j = thứ hạng 1..N. G = 0: mọi tỉnh bằng nhau; G càng gần 1 càng tập trung.</t>
  </si>
  <si>
    <t>Thứ hạng j</t>
  </si>
  <si>
    <t>EBI 2024 (sắp tăng dần)</t>
  </si>
  <si>
    <t>j × y</t>
  </si>
  <si>
    <t>Tổng</t>
  </si>
  <si>
    <t>N =</t>
  </si>
  <si>
    <t>Số hạng 1 = 2·Σ(j·y)/(N·Σy)</t>
  </si>
  <si>
    <t>Số hạng 2 = (N+1)/N</t>
  </si>
  <si>
    <t>GINI = số hạng 1 − số hạng 2</t>
  </si>
  <si>
    <t>Trong bài báo: Gini EBI năm 2024 trên 58 tỉnh = 0,245 (Bảng 3). Ví dụ 6 tỉnh cho 0.27 vì mẫu nhỏ gồm cả Hà Nội (84) và Thái Nguyên (20).</t>
  </si>
  <si>
    <t>Hệ số biến thiên CV = độ lệch chuẩn / trung bình → hội tụ sigma khi CV giảm theo thời gian   (Bảng 3, Hình 5)</t>
  </si>
  <si>
    <t>ln(EBI 2024)</t>
  </si>
  <si>
    <t>Trung bình</t>
  </si>
  <si>
    <t>Độ lệch chuẩn mẫu (STDEV.S)</t>
  </si>
  <si>
    <t>CV = SD / trung bình</t>
  </si>
  <si>
    <t>SD của ln(EBI) 2024</t>
  </si>
  <si>
    <t>Kết luận</t>
  </si>
  <si>
    <t>Trong bài báo (58 tỉnh): CV EBI giảm từ 1,253 (2021) xuống 0,608 (2024); SD ln(EBI) từ 0,528 xuống 0,410 – Mục 4.3.</t>
  </si>
  <si>
    <t>Chỉ số Theil-T và phân rã thành phần GIỮA nhóm + TRONG nhóm   (Bảng 3, Hình 3, Hình 4, phương trình (1))</t>
  </si>
  <si>
    <t>T = (1/N)·Σ (y_i/ȳ)·ln(y_i/ȳ).   Phân rã: T = Σ_k s_k·T_k (trong nhóm) + Σ_k s_k·ln(ȳ_k/ȳ) (giữa nhóm), với s_k = (N_k/N)·(ȳ_k/ȳ).</t>
  </si>
  <si>
    <t>Nhóm</t>
  </si>
  <si>
    <t>y = EBI 2024</t>
  </si>
  <si>
    <t>y/ȳ</t>
  </si>
  <si>
    <t>ln(y/ȳ)</t>
  </si>
  <si>
    <t>(y/ȳ)·ln(y/ȳ)</t>
  </si>
  <si>
    <t>ȳ (trung bình chung)</t>
  </si>
  <si>
    <t>N</t>
  </si>
  <si>
    <t>Theil-T = (1/N)·Σ cột F</t>
  </si>
  <si>
    <t>Phân rã theo 2 nhóm</t>
  </si>
  <si>
    <t>Nhóm k</t>
  </si>
  <si>
    <t>N_k</t>
  </si>
  <si>
    <t>ȳ_k</t>
  </si>
  <si>
    <t>s_k = (N_k/N)(ȳ_k/ȳ)</t>
  </si>
  <si>
    <t>T_k (Theil trong nhóm)</t>
  </si>
  <si>
    <t>s_k·T_k</t>
  </si>
  <si>
    <t>ln(ȳ_k/ȳ)</t>
  </si>
  <si>
    <t>s_k·ln(ȳ_k/ȳ)</t>
  </si>
  <si>
    <t>Phần TRONG nhóm (within)</t>
  </si>
  <si>
    <t>Phần GIỮA nhóm (between)</t>
  </si>
  <si>
    <t>Kiểm tra: within + between = Theil-T?</t>
  </si>
  <si>
    <t>Tỷ trọng giữa nhóm (%) = between / T × 100</t>
  </si>
  <si>
    <t>Trong bài báo (58 tỉnh, 6 vùng, 2024): Theil-T = 0,128; giữa vùng = 0,047; trong vùng = 0,081; tỷ trọng giữa vùng = 36,9% (Bảng 3). Ví dụ 2 nhóm ở đây cho tỷ trọng giữa nhóm cao hơn vì hai tỉnh lõi tách hẳn khỏi bốn tỉnh còn lại.</t>
  </si>
  <si>
    <t>Phân rã Gini theo nguồn: G(EBI) = Σ_k S_k·G_k·R_k   (Bảng 4)</t>
  </si>
  <si>
    <t>EBI = 0,2·NNL&amp;HT + 0,4·B2C + 0,4·B2B (trọng số từ 2021). S_k = tỷ trọng thành phần k trong EBI trung bình; G_k = Gini của thành phần w_k·X_k; R_k = cov(w_k·X_k, hạng EBI)/cov(w_k·X_k, hạng của chính nó).</t>
  </si>
  <si>
    <t>NNL&amp;HT</t>
  </si>
  <si>
    <t>B2C</t>
  </si>
  <si>
    <t>B2B</t>
  </si>
  <si>
    <t>0,2·NNL&amp;HT</t>
  </si>
  <si>
    <t>0,4·B2C</t>
  </si>
  <si>
    <t>0,4·B2B</t>
  </si>
  <si>
    <t>EBI tái tạo = tổng</t>
  </si>
  <si>
    <t>EBI công bố</t>
  </si>
  <si>
    <t>Hạng EBI /N</t>
  </si>
  <si>
    <t>Hạng 0,2·NNL /N</t>
  </si>
  <si>
    <t>Hạng 0,4·B2C /N</t>
  </si>
  <si>
    <t>Hạng 0,4·B2B /N</t>
  </si>
  <si>
    <t>Trụ cột k</t>
  </si>
  <si>
    <t>S_k = TB(w·X)/TB(EBI tái tạo)</t>
  </si>
  <si>
    <t>G_k = Gini(w·X)</t>
  </si>
  <si>
    <t>R_k = COVAR(w·X, hạng EBI)/COVAR(w·X, hạng chính nó)</t>
  </si>
  <si>
    <t>S_k·G_k·R_k</t>
  </si>
  <si>
    <t>Đóng góp (%)</t>
  </si>
  <si>
    <t>Tổng Σ S·G·R</t>
  </si>
  <si>
    <t>Gini của EBI tái tạo (để đối chiếu)</t>
  </si>
  <si>
    <t>Trong bài báo (2024, 58 tỉnh): Gini EBI 0,245; đóng góp NNL&amp;HT 24,4%, B2C 29,8%, B2B 45,9% (Bảng 4). Lưu ý: hàm Gini trong Excel ở đây dùng RANK.AVG nên đúng khi không có giá trị trùng; trong ví dụ này không trùng.</t>
  </si>
  <si>
    <t>Hội tụ beta tuyệt đối 2021→2024: g_i = (1/T)·ln(EBI_2024/EBI_2021) = α + β·ln(EBI_2021)   (Bảng 5, Hình 7, phương trình (2))</t>
  </si>
  <si>
    <t>β &lt; 0 nghĩa là tỉnh xuất phát thấp (ln EBI_2021 nhỏ) tăng nhanh hơn → hội tụ. Tốc độ hội tụ λ = −ln(1+β·T)/T; thời gian bán hội tụ = ln2/λ. T = 3 năm.</t>
  </si>
  <si>
    <t>EBI 2021 (y0)</t>
  </si>
  <si>
    <t>EBI 2024 (y1)</t>
  </si>
  <si>
    <t>x = ln(y0)</t>
  </si>
  <si>
    <t>ln(y1)</t>
  </si>
  <si>
    <t>g = (ln y1 − ln y0)/T</t>
  </si>
  <si>
    <t>x − x̄</t>
  </si>
  <si>
    <t>g − ḡ</t>
  </si>
  <si>
    <t>(x−x̄)(g−ḡ)</t>
  </si>
  <si>
    <t>(x−x̄)²</t>
  </si>
  <si>
    <t>(hàng trống)</t>
  </si>
  <si>
    <t>T (số năm)</t>
  </si>
  <si>
    <t>β = Σ(x−x̄)(g−ḡ) / Σ(x−x̄)²</t>
  </si>
  <si>
    <t>kiểm tra bằng SLOPE:</t>
  </si>
  <si>
    <t>α = ḡ − β·x̄</t>
  </si>
  <si>
    <t>kiểm tra bằng INTERCEPT:</t>
  </si>
  <si>
    <t>R²</t>
  </si>
  <si>
    <t>λ = −ln(1+β·T)/T</t>
  </si>
  <si>
    <t>Tốc độ hội tụ (%/năm) = λ×100</t>
  </si>
  <si>
    <t>Thời gian bán hội tụ (năm) = ln2/λ</t>
  </si>
  <si>
    <t>Trong bài báo (56 tỉnh, 2021–2024): β = −0,0888 (SE 0,0180), λ = 10,3%/năm, bán hội tụ 6,7 năm, R² = 0,528 (Bảng 5, Hình 7). Bài dùng sai số chuẩn vững HC1 để tính p-value; Excel không có sẵn HC1 nên chỉ minh hoạ β, α, R².</t>
  </si>
  <si>
    <t>Hồi quy OLS đơn giản: ln(EBI) = b0 + b1·(DN/1.000 dân)   (Bảng 6 – mô hình đầy đủ có 8 biến + biến giả năm, phương trình (3))</t>
  </si>
  <si>
    <t>Bài dùng 8 biến + hiệu ứng năm trên 331 quan sát tỉnh–năm. Ở đây minh hoạ với 1 biến, 6 tỉnh, năm 2024 để thấy cách OLS chọn đường thẳng "khớp nhất" (tổng bình phương phần dư nhỏ nhất) và cách đọc hệ số.</t>
  </si>
  <si>
    <t>x = DN/1.000 dân</t>
  </si>
  <si>
    <t>y = ln(EBI 2024)</t>
  </si>
  <si>
    <t>y − ȳ</t>
  </si>
  <si>
    <t>(x−x̄)(y−ȳ)</t>
  </si>
  <si>
    <t>ŷ = b0 + b1·x</t>
  </si>
  <si>
    <t>phần dư = y − ŷ</t>
  </si>
  <si>
    <t>phần dư²</t>
  </si>
  <si>
    <t>b1 (độ dốc) = Σ(x−x̄)(y−ȳ)/Σ(x−x̄)²</t>
  </si>
  <si>
    <t>kiểm tra SLOPE:</t>
  </si>
  <si>
    <t>b0 (hằng số) = ȳ − b1·x̄</t>
  </si>
  <si>
    <t>kiểm tra INTERCEPT:</t>
  </si>
  <si>
    <t>R² = 1 − Σphần dư²/Σ(y−ȳ)²</t>
  </si>
  <si>
    <t>kiểm tra RSQ:</t>
  </si>
  <si>
    <t>Sai số chuẩn thường của b1 (LINEST)</t>
  </si>
  <si>
    <t>t = b1 / SE</t>
  </si>
  <si>
    <t>p-value (2 phía, df = N−2)</t>
  </si>
  <si>
    <t>Đọc hệ số: thêm 1 DN/1.000 dân → EBI tăng ≈ (e^b1 − 1)×100 %</t>
  </si>
  <si>
    <t>Trong bài báo (Bảng 6, cột 2): hệ số mật độ DN = 0,070 (SE cụm 0,007, p &lt; 0,001) → mỗi DN thêm trên 1.000 dân gắn với EBI cao hơn ≈ 7,3%; R² = 0,936; VIF lớn nhất 5,37. Ví dụ 1 biến ở đây cho hệ số khác vì chưa kiểm soát 7 biến còn lại và hiệu ứng năm.</t>
  </si>
  <si>
    <t>Phân tách Oaxaca–Blinder: khoảng cách ln(EBI) lõi − ngoại vi = phần NGUỒN LỰC + phần HỆ SỐ   (Bảng 8, 8b, Hình 8, phương trình (4))</t>
  </si>
  <si>
    <t>Ví dụ 1 biến (x = DN/1.000 dân), hệ số tham chiếu = hệ số của nhóm lõi (bài dùng hệ số gộp theo Jann 2008 – ý tưởng giống nhau). Nguồn lực = (x̄_L − x̄_N)·β_L; Hệ số = phần còn lại.</t>
  </si>
  <si>
    <t>Đại lượng</t>
  </si>
  <si>
    <t>Nhóm Lõi (L)</t>
  </si>
  <si>
    <t>Nhóm Ngoại vi (N)</t>
  </si>
  <si>
    <t>Ghi chú</t>
  </si>
  <si>
    <t>x̄ (trung bình mật độ DN)</t>
  </si>
  <si>
    <t>ȳ (trung bình ln EBI)</t>
  </si>
  <si>
    <t>β (độ dốc) hồi quy riêng từng nhóm</t>
  </si>
  <si>
    <t>Lõi chỉ có 2 tỉnh nên đường thẳng đi qua đúng 2 điểm (minh hoạ)</t>
  </si>
  <si>
    <t>α (hằng số) hồi quy riêng từng nhóm</t>
  </si>
  <si>
    <t>Khoảng cách = ȳ_L − ȳ_N</t>
  </si>
  <si>
    <t>Phần NGUỒN LỰC = (x̄_L − x̄_N) × β_L</t>
  </si>
  <si>
    <t>"nếu ngoại vi có mật độ DN như lõi (và vẫn quy đổi theo hệ số của lõi) thì khoảng cách thu hẹp bấy nhiêu"</t>
  </si>
  <si>
    <t>Phần HỆ SỐ = khoảng cách − phần nguồn lực</t>
  </si>
  <si>
    <t>"cùng mật độ DN nhưng chuyển hoá thành EBI khác nhau (hằng số + độ dốc khác)"</t>
  </si>
  <si>
    <t>% nguồn lực</t>
  </si>
  <si>
    <t>% hệ số</t>
  </si>
  <si>
    <t>Kiểm tra: nguồn lực + hệ số = khoảng cách</t>
  </si>
  <si>
    <t>Trong bài báo (331 quan sát 2019–2024, 8 biến + biến giả năm, hệ số gộp): khoảng cách 0,455 (≈ 58% EBI); nguồn lực 0,360 = 79,1%; hệ số 0,095 = 20,9%; riêng mật độ DN giải thích 69,4% khoảng cách (Bảng 8, 8b, Hình 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</si>
</sst>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b/>
      <sz val="11"/>
      <color rgb="FFFFFFFF"/>
      <name val="Calibri"/>
    </font>
    <font>
      <i/>
      <sz val="11"/>
      <color rgb="FF595959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5" fillId="0" borderId="0" xfId="0" applyFont="1"/>
    <xf numFmtId="164" fontId="0" fillId="3" borderId="1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0" fontId="0" fillId="4" borderId="1" xfId="0" applyFill="1" applyBorder="1"/>
    <xf numFmtId="0" fontId="5" fillId="0" borderId="1" xfId="0" applyFont="1" applyBorder="1"/>
    <xf numFmtId="166" fontId="0" fillId="4" borderId="1" xfId="0" applyNumberFormat="1" applyFill="1" applyBorder="1"/>
    <xf numFmtId="166" fontId="0" fillId="5" borderId="1" xfId="0" applyNumberFormat="1" applyFill="1" applyBorder="1"/>
    <xf numFmtId="2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6" fillId="0" borderId="0" xfId="0" applyFont="1"/>
    <xf numFmtId="165" fontId="0" fillId="5" borderId="1" xfId="0" applyNumberFormat="1" applyFill="1" applyBorder="1"/>
    <xf numFmtId="2" fontId="0" fillId="4" borderId="1" xfId="0" applyNumberFormat="1" applyFill="1" applyBorder="1"/>
    <xf numFmtId="0" fontId="0" fillId="0" borderId="0" xfId="0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0" fillId="4" borderId="1" xfId="0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5" x14ac:dyDescent="0.25"/>
  <cols>
    <col min="1" max="1" width="120" customWidth="1"/>
  </cols>
  <sheetData>
    <row r="1" spans="1:8" ht="18.75" x14ac:dyDescent="0.3">
      <c r="A1" s="1" t="s">
        <v>0</v>
      </c>
    </row>
    <row r="2" spans="1:8" ht="32.1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</row>
    <row r="3" spans="1:8" ht="32.1" customHeight="1" x14ac:dyDescent="0.25">
      <c r="A3" s="20" t="s">
        <v>2</v>
      </c>
      <c r="B3" s="21"/>
      <c r="C3" s="21"/>
      <c r="D3" s="21"/>
      <c r="E3" s="21"/>
      <c r="F3" s="21"/>
      <c r="G3" s="21"/>
      <c r="H3" s="21"/>
    </row>
    <row r="4" spans="1:8" ht="32.1" customHeight="1" x14ac:dyDescent="0.25">
      <c r="A4" s="20" t="s">
        <v>3</v>
      </c>
      <c r="B4" s="21"/>
      <c r="C4" s="21"/>
      <c r="D4" s="21"/>
      <c r="E4" s="21"/>
      <c r="F4" s="21"/>
      <c r="G4" s="21"/>
      <c r="H4" s="21"/>
    </row>
    <row r="5" spans="1:8" ht="32.1" customHeight="1" x14ac:dyDescent="0.25">
      <c r="A5" s="20" t="s">
        <v>4</v>
      </c>
      <c r="B5" s="21"/>
      <c r="C5" s="21"/>
      <c r="D5" s="21"/>
      <c r="E5" s="21"/>
      <c r="F5" s="21"/>
      <c r="G5" s="21"/>
      <c r="H5" s="21"/>
    </row>
    <row r="6" spans="1:8" ht="32.1" customHeight="1" x14ac:dyDescent="0.25">
      <c r="A6" s="20" t="s">
        <v>5</v>
      </c>
      <c r="B6" s="21"/>
      <c r="C6" s="21"/>
      <c r="D6" s="21"/>
      <c r="E6" s="21"/>
      <c r="F6" s="21"/>
      <c r="G6" s="21"/>
      <c r="H6" s="21"/>
    </row>
  </sheetData>
  <mergeCells count="5">
    <mergeCell ref="A4:H4"/>
    <mergeCell ref="A3:H3"/>
    <mergeCell ref="A2:H2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10" customWidth="1"/>
    <col min="5" max="5" width="12" customWidth="1"/>
    <col min="6" max="8" width="10" customWidth="1"/>
    <col min="9" max="9" width="16" customWidth="1"/>
    <col min="10" max="10" width="20" customWidth="1"/>
  </cols>
  <sheetData>
    <row r="1" spans="1:10" ht="17.25" x14ac:dyDescent="0.3">
      <c r="A1" s="2" t="s">
        <v>6</v>
      </c>
    </row>
    <row r="2" spans="1:10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x14ac:dyDescent="0.25">
      <c r="A3" s="4" t="s">
        <v>17</v>
      </c>
      <c r="B3" s="4" t="s">
        <v>18</v>
      </c>
      <c r="C3" s="4" t="s">
        <v>19</v>
      </c>
      <c r="D3" s="5">
        <v>84</v>
      </c>
      <c r="E3" s="5">
        <v>97</v>
      </c>
      <c r="F3" s="5">
        <v>77</v>
      </c>
      <c r="G3" s="5">
        <v>85</v>
      </c>
      <c r="H3" s="5">
        <v>55.66</v>
      </c>
      <c r="I3" s="5">
        <v>22.58</v>
      </c>
      <c r="J3" s="5">
        <v>162.9</v>
      </c>
    </row>
    <row r="4" spans="1:10" x14ac:dyDescent="0.25">
      <c r="A4" s="4" t="s">
        <v>20</v>
      </c>
      <c r="B4" s="4" t="s">
        <v>21</v>
      </c>
      <c r="C4" s="4" t="s">
        <v>19</v>
      </c>
      <c r="D4" s="5">
        <v>51</v>
      </c>
      <c r="E4" s="5">
        <v>36</v>
      </c>
      <c r="F4" s="5">
        <v>47</v>
      </c>
      <c r="G4" s="5">
        <v>63</v>
      </c>
      <c r="H4" s="5">
        <v>14.76</v>
      </c>
      <c r="I4" s="5">
        <v>15.82</v>
      </c>
      <c r="J4" s="5">
        <v>177.2</v>
      </c>
    </row>
    <row r="5" spans="1:10" x14ac:dyDescent="0.25">
      <c r="A5" s="4" t="s">
        <v>22</v>
      </c>
      <c r="B5" s="4" t="s">
        <v>23</v>
      </c>
      <c r="C5" s="4" t="s">
        <v>24</v>
      </c>
      <c r="D5" s="5">
        <v>47</v>
      </c>
      <c r="E5" s="5">
        <v>70</v>
      </c>
      <c r="F5" s="5">
        <v>31</v>
      </c>
      <c r="G5" s="5">
        <v>52</v>
      </c>
      <c r="H5" s="5">
        <v>19.04</v>
      </c>
      <c r="I5" s="5">
        <v>19.88</v>
      </c>
      <c r="J5" s="5">
        <v>119.3</v>
      </c>
    </row>
    <row r="6" spans="1:10" x14ac:dyDescent="0.25">
      <c r="A6" s="4" t="s">
        <v>25</v>
      </c>
      <c r="B6" s="4" t="s">
        <v>26</v>
      </c>
      <c r="C6" s="4" t="s">
        <v>24</v>
      </c>
      <c r="D6" s="5">
        <v>28</v>
      </c>
      <c r="E6" s="5">
        <v>29</v>
      </c>
      <c r="F6" s="5">
        <v>33</v>
      </c>
      <c r="G6" s="5">
        <v>23</v>
      </c>
      <c r="H6" s="5">
        <v>8.59</v>
      </c>
      <c r="I6" s="5">
        <v>8.5399999999999991</v>
      </c>
      <c r="J6" s="5">
        <v>104.3</v>
      </c>
    </row>
    <row r="7" spans="1:10" x14ac:dyDescent="0.25">
      <c r="A7" s="4" t="s">
        <v>27</v>
      </c>
      <c r="B7" s="4" t="s">
        <v>28</v>
      </c>
      <c r="C7" s="4" t="s">
        <v>24</v>
      </c>
      <c r="D7" s="5">
        <v>26</v>
      </c>
      <c r="E7" s="5">
        <v>28</v>
      </c>
      <c r="F7" s="5">
        <v>24</v>
      </c>
      <c r="G7" s="5">
        <v>26</v>
      </c>
      <c r="H7" s="5">
        <v>6.65</v>
      </c>
      <c r="I7" s="5">
        <v>5.99</v>
      </c>
      <c r="J7" s="5">
        <v>99.9</v>
      </c>
    </row>
    <row r="8" spans="1:10" x14ac:dyDescent="0.25">
      <c r="A8" s="4" t="s">
        <v>29</v>
      </c>
      <c r="B8" s="4" t="s">
        <v>30</v>
      </c>
      <c r="C8" s="4" t="s">
        <v>24</v>
      </c>
      <c r="D8" s="5">
        <v>20</v>
      </c>
      <c r="E8" s="5">
        <v>21</v>
      </c>
      <c r="F8" s="5">
        <v>26</v>
      </c>
      <c r="G8" s="5">
        <v>14</v>
      </c>
      <c r="H8" s="5">
        <v>6.38</v>
      </c>
      <c r="I8" s="5">
        <v>4.46</v>
      </c>
      <c r="J8" s="5">
        <v>114.5</v>
      </c>
    </row>
    <row r="10" spans="1:10" ht="30" customHeight="1" x14ac:dyDescent="0.25">
      <c r="A10" s="22" t="s">
        <v>31</v>
      </c>
      <c r="B10" s="21"/>
      <c r="C10" s="21"/>
      <c r="D10" s="21"/>
      <c r="E10" s="21"/>
      <c r="F10" s="21"/>
      <c r="G10" s="21"/>
      <c r="H10" s="21"/>
    </row>
  </sheetData>
  <mergeCells count="1"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14" customWidth="1"/>
    <col min="4" max="4" width="48" customWidth="1"/>
  </cols>
  <sheetData>
    <row r="1" spans="1:6" ht="17.25" x14ac:dyDescent="0.3">
      <c r="A1" s="2" t="s">
        <v>32</v>
      </c>
    </row>
    <row r="2" spans="1:6" x14ac:dyDescent="0.25">
      <c r="A2" s="6" t="s">
        <v>33</v>
      </c>
      <c r="F2" s="7">
        <v>23.085999999999999</v>
      </c>
    </row>
    <row r="3" spans="1:6" x14ac:dyDescent="0.25">
      <c r="A3" t="s">
        <v>34</v>
      </c>
    </row>
    <row r="5" spans="1:6" x14ac:dyDescent="0.25">
      <c r="A5" s="3" t="s">
        <v>7</v>
      </c>
      <c r="B5" s="3" t="s">
        <v>10</v>
      </c>
      <c r="C5" s="3" t="s">
        <v>35</v>
      </c>
      <c r="D5" s="3" t="s">
        <v>36</v>
      </c>
    </row>
    <row r="6" spans="1:6" x14ac:dyDescent="0.25">
      <c r="A6" s="4" t="s">
        <v>17</v>
      </c>
      <c r="B6" s="8">
        <f>'1_Du_lieu'!D3</f>
        <v>84</v>
      </c>
      <c r="C6" s="9">
        <f t="shared" ref="C6:C11" si="0">B6/$F$2*100</f>
        <v>363.85688295936933</v>
      </c>
      <c r="D6" s="10" t="str">
        <f t="shared" ref="D6:D11" si="1">IF(C6&gt;=100,"cao hơn trung bình cả nước "&amp;TEXT(C6-100,"0")&amp;" điểm","thấp hơn trung bình cả nước "&amp;TEXT(100-C6,"0")&amp;" điểm")</f>
        <v>cao hơn trung bình cả nước 264 điểm</v>
      </c>
    </row>
    <row r="7" spans="1:6" x14ac:dyDescent="0.25">
      <c r="A7" s="4" t="s">
        <v>20</v>
      </c>
      <c r="B7" s="8">
        <f>'1_Du_lieu'!D4</f>
        <v>51</v>
      </c>
      <c r="C7" s="9">
        <f t="shared" si="0"/>
        <v>220.91310751104567</v>
      </c>
      <c r="D7" s="10" t="str">
        <f t="shared" si="1"/>
        <v>cao hơn trung bình cả nước 121 điểm</v>
      </c>
    </row>
    <row r="8" spans="1:6" x14ac:dyDescent="0.25">
      <c r="A8" s="4" t="s">
        <v>22</v>
      </c>
      <c r="B8" s="8">
        <f>'1_Du_lieu'!D5</f>
        <v>47</v>
      </c>
      <c r="C8" s="9">
        <f t="shared" si="0"/>
        <v>203.58658927488526</v>
      </c>
      <c r="D8" s="10" t="str">
        <f t="shared" si="1"/>
        <v>cao hơn trung bình cả nước 104 điểm</v>
      </c>
    </row>
    <row r="9" spans="1:6" x14ac:dyDescent="0.25">
      <c r="A9" s="4" t="s">
        <v>25</v>
      </c>
      <c r="B9" s="8">
        <f>'1_Du_lieu'!D6</f>
        <v>28</v>
      </c>
      <c r="C9" s="9">
        <f t="shared" si="0"/>
        <v>121.28562765312311</v>
      </c>
      <c r="D9" s="10" t="str">
        <f t="shared" si="1"/>
        <v>cao hơn trung bình cả nước 21 điểm</v>
      </c>
    </row>
    <row r="10" spans="1:6" x14ac:dyDescent="0.25">
      <c r="A10" s="4" t="s">
        <v>27</v>
      </c>
      <c r="B10" s="8">
        <f>'1_Du_lieu'!D7</f>
        <v>26</v>
      </c>
      <c r="C10" s="9">
        <f t="shared" si="0"/>
        <v>112.62236853504288</v>
      </c>
      <c r="D10" s="10" t="str">
        <f t="shared" si="1"/>
        <v>cao hơn trung bình cả nước 13 điểm</v>
      </c>
    </row>
    <row r="11" spans="1:6" x14ac:dyDescent="0.25">
      <c r="A11" s="4" t="s">
        <v>29</v>
      </c>
      <c r="B11" s="8">
        <f>'1_Du_lieu'!D8</f>
        <v>20</v>
      </c>
      <c r="C11" s="9">
        <f t="shared" si="0"/>
        <v>86.632591180802223</v>
      </c>
      <c r="D11" s="10" t="str">
        <f t="shared" si="1"/>
        <v>thấp hơn trung bình cả nước 13 điểm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5" x14ac:dyDescent="0.25"/>
  <cols>
    <col min="1" max="1" width="30" customWidth="1"/>
    <col min="2" max="2" width="14" customWidth="1"/>
    <col min="3" max="3" width="24" customWidth="1"/>
    <col min="4" max="4" width="12" customWidth="1"/>
  </cols>
  <sheetData>
    <row r="1" spans="1:8" ht="17.25" x14ac:dyDescent="0.3">
      <c r="A1" s="2" t="s">
        <v>37</v>
      </c>
    </row>
    <row r="2" spans="1:8" ht="30" customHeight="1" x14ac:dyDescent="0.25">
      <c r="A2" s="22" t="s">
        <v>38</v>
      </c>
      <c r="B2" s="21"/>
      <c r="C2" s="21"/>
      <c r="D2" s="21"/>
      <c r="E2" s="21"/>
      <c r="F2" s="21"/>
      <c r="G2" s="21"/>
      <c r="H2" s="21"/>
    </row>
    <row r="3" spans="1:8" x14ac:dyDescent="0.25">
      <c r="A3" s="3" t="s">
        <v>39</v>
      </c>
      <c r="B3" s="3" t="s">
        <v>7</v>
      </c>
      <c r="C3" s="3" t="s">
        <v>40</v>
      </c>
      <c r="D3" s="3" t="s">
        <v>41</v>
      </c>
    </row>
    <row r="4" spans="1:8" x14ac:dyDescent="0.25">
      <c r="A4" s="5">
        <v>1</v>
      </c>
      <c r="B4" s="4" t="s">
        <v>29</v>
      </c>
      <c r="C4" s="9">
        <f>SMALL('1_Du_lieu'!$D$3:$D$8,A4)</f>
        <v>20</v>
      </c>
      <c r="D4" s="9">
        <f t="shared" ref="D4:D9" si="0">A4*C4</f>
        <v>20</v>
      </c>
    </row>
    <row r="5" spans="1:8" x14ac:dyDescent="0.25">
      <c r="A5" s="5">
        <v>2</v>
      </c>
      <c r="B5" s="4" t="s">
        <v>27</v>
      </c>
      <c r="C5" s="9">
        <f>SMALL('1_Du_lieu'!$D$3:$D$8,A5)</f>
        <v>26</v>
      </c>
      <c r="D5" s="9">
        <f t="shared" si="0"/>
        <v>52</v>
      </c>
    </row>
    <row r="6" spans="1:8" x14ac:dyDescent="0.25">
      <c r="A6" s="5">
        <v>3</v>
      </c>
      <c r="B6" s="4" t="s">
        <v>25</v>
      </c>
      <c r="C6" s="9">
        <f>SMALL('1_Du_lieu'!$D$3:$D$8,A6)</f>
        <v>28</v>
      </c>
      <c r="D6" s="9">
        <f t="shared" si="0"/>
        <v>84</v>
      </c>
    </row>
    <row r="7" spans="1:8" x14ac:dyDescent="0.25">
      <c r="A7" s="5">
        <v>4</v>
      </c>
      <c r="B7" s="4" t="s">
        <v>22</v>
      </c>
      <c r="C7" s="9">
        <f>SMALL('1_Du_lieu'!$D$3:$D$8,A7)</f>
        <v>47</v>
      </c>
      <c r="D7" s="9">
        <f t="shared" si="0"/>
        <v>188</v>
      </c>
    </row>
    <row r="8" spans="1:8" x14ac:dyDescent="0.25">
      <c r="A8" s="5">
        <v>5</v>
      </c>
      <c r="B8" s="4" t="s">
        <v>20</v>
      </c>
      <c r="C8" s="9">
        <f>SMALL('1_Du_lieu'!$D$3:$D$8,A8)</f>
        <v>51</v>
      </c>
      <c r="D8" s="9">
        <f t="shared" si="0"/>
        <v>255</v>
      </c>
    </row>
    <row r="9" spans="1:8" x14ac:dyDescent="0.25">
      <c r="A9" s="5">
        <v>6</v>
      </c>
      <c r="B9" s="4" t="s">
        <v>17</v>
      </c>
      <c r="C9" s="9">
        <f>SMALL('1_Du_lieu'!$D$3:$D$8,A9)</f>
        <v>84</v>
      </c>
      <c r="D9" s="9">
        <f t="shared" si="0"/>
        <v>504</v>
      </c>
    </row>
    <row r="10" spans="1:8" x14ac:dyDescent="0.25">
      <c r="B10" s="11" t="s">
        <v>42</v>
      </c>
      <c r="C10" s="9">
        <f>SUM(C4:C9)</f>
        <v>256</v>
      </c>
      <c r="D10" s="9">
        <f>SUM(D4:D9)</f>
        <v>1103</v>
      </c>
    </row>
    <row r="12" spans="1:8" x14ac:dyDescent="0.25">
      <c r="A12" s="11" t="s">
        <v>43</v>
      </c>
      <c r="B12" s="10">
        <f>COUNT(C4:C9)</f>
        <v>6</v>
      </c>
    </row>
    <row r="13" spans="1:8" x14ac:dyDescent="0.25">
      <c r="A13" s="11" t="s">
        <v>44</v>
      </c>
      <c r="C13" s="12">
        <f>2*D10/(B12*C10)</f>
        <v>1.4361979166666667</v>
      </c>
    </row>
    <row r="14" spans="1:8" x14ac:dyDescent="0.25">
      <c r="A14" s="11" t="s">
        <v>45</v>
      </c>
      <c r="C14" s="12">
        <f>(B12+1)/B12</f>
        <v>1.1666666666666667</v>
      </c>
    </row>
    <row r="15" spans="1:8" x14ac:dyDescent="0.25">
      <c r="A15" s="11" t="s">
        <v>46</v>
      </c>
      <c r="C15" s="13">
        <f>C13-C14</f>
        <v>0.26953125</v>
      </c>
    </row>
    <row r="17" spans="1:8" ht="30" customHeight="1" x14ac:dyDescent="0.25">
      <c r="A17" s="22" t="s">
        <v>47</v>
      </c>
      <c r="B17" s="21"/>
      <c r="C17" s="21"/>
      <c r="D17" s="21"/>
      <c r="E17" s="21"/>
      <c r="F17" s="21"/>
      <c r="G17" s="21"/>
      <c r="H17" s="21"/>
    </row>
  </sheetData>
  <mergeCells count="2">
    <mergeCell ref="A2:H2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1" width="30" customWidth="1"/>
    <col min="2" max="3" width="12" customWidth="1"/>
    <col min="4" max="4" width="14" customWidth="1"/>
  </cols>
  <sheetData>
    <row r="1" spans="1:8" ht="17.25" x14ac:dyDescent="0.3">
      <c r="A1" s="2" t="s">
        <v>48</v>
      </c>
    </row>
    <row r="2" spans="1:8" x14ac:dyDescent="0.25">
      <c r="A2" s="3" t="s">
        <v>7</v>
      </c>
      <c r="B2" s="3" t="s">
        <v>14</v>
      </c>
      <c r="C2" s="3" t="s">
        <v>10</v>
      </c>
      <c r="D2" s="3" t="s">
        <v>49</v>
      </c>
    </row>
    <row r="3" spans="1:8" x14ac:dyDescent="0.25">
      <c r="A3" s="4" t="s">
        <v>17</v>
      </c>
      <c r="B3" s="14">
        <f>'1_Du_lieu'!H3</f>
        <v>55.66</v>
      </c>
      <c r="C3" s="8">
        <f>'1_Du_lieu'!D3</f>
        <v>84</v>
      </c>
      <c r="D3" s="15">
        <f t="shared" ref="D3:D8" si="0">LN(C3)</f>
        <v>4.4308167988433134</v>
      </c>
    </row>
    <row r="4" spans="1:8" x14ac:dyDescent="0.25">
      <c r="A4" s="4" t="s">
        <v>20</v>
      </c>
      <c r="B4" s="14">
        <f>'1_Du_lieu'!H4</f>
        <v>14.76</v>
      </c>
      <c r="C4" s="8">
        <f>'1_Du_lieu'!D4</f>
        <v>51</v>
      </c>
      <c r="D4" s="15">
        <f t="shared" si="0"/>
        <v>3.9318256327243257</v>
      </c>
    </row>
    <row r="5" spans="1:8" x14ac:dyDescent="0.25">
      <c r="A5" s="4" t="s">
        <v>22</v>
      </c>
      <c r="B5" s="14">
        <f>'1_Du_lieu'!H5</f>
        <v>19.04</v>
      </c>
      <c r="C5" s="8">
        <f>'1_Du_lieu'!D5</f>
        <v>47</v>
      </c>
      <c r="D5" s="15">
        <f t="shared" si="0"/>
        <v>3.8501476017100584</v>
      </c>
    </row>
    <row r="6" spans="1:8" x14ac:dyDescent="0.25">
      <c r="A6" s="4" t="s">
        <v>25</v>
      </c>
      <c r="B6" s="14">
        <f>'1_Du_lieu'!H6</f>
        <v>8.59</v>
      </c>
      <c r="C6" s="8">
        <f>'1_Du_lieu'!D6</f>
        <v>28</v>
      </c>
      <c r="D6" s="15">
        <f t="shared" si="0"/>
        <v>3.3322045101752038</v>
      </c>
    </row>
    <row r="7" spans="1:8" x14ac:dyDescent="0.25">
      <c r="A7" s="4" t="s">
        <v>27</v>
      </c>
      <c r="B7" s="14">
        <f>'1_Du_lieu'!H7</f>
        <v>6.65</v>
      </c>
      <c r="C7" s="8">
        <f>'1_Du_lieu'!D7</f>
        <v>26</v>
      </c>
      <c r="D7" s="15">
        <f t="shared" si="0"/>
        <v>3.2580965380214821</v>
      </c>
    </row>
    <row r="8" spans="1:8" x14ac:dyDescent="0.25">
      <c r="A8" s="4" t="s">
        <v>29</v>
      </c>
      <c r="B8" s="14">
        <f>'1_Du_lieu'!H8</f>
        <v>6.38</v>
      </c>
      <c r="C8" s="8">
        <f>'1_Du_lieu'!D8</f>
        <v>20</v>
      </c>
      <c r="D8" s="15">
        <f t="shared" si="0"/>
        <v>2.9957322735539909</v>
      </c>
    </row>
    <row r="10" spans="1:8" x14ac:dyDescent="0.25">
      <c r="A10" s="11" t="s">
        <v>50</v>
      </c>
      <c r="B10" s="15">
        <f>AVERAGE(B3:B8)</f>
        <v>18.513333333333335</v>
      </c>
      <c r="C10" s="15">
        <f>AVERAGE(C3:C8)</f>
        <v>42.666666666666664</v>
      </c>
    </row>
    <row r="11" spans="1:8" x14ac:dyDescent="0.25">
      <c r="A11" s="11" t="s">
        <v>51</v>
      </c>
      <c r="B11" s="15">
        <f>_xlfn.STDEV.S(B3:B8)</f>
        <v>18.871506210863682</v>
      </c>
      <c r="C11" s="15">
        <f>_xlfn.STDEV.S(C3:C8)</f>
        <v>23.678400846904058</v>
      </c>
    </row>
    <row r="12" spans="1:8" x14ac:dyDescent="0.25">
      <c r="A12" s="11" t="s">
        <v>52</v>
      </c>
      <c r="B12" s="16">
        <f>B11/B10</f>
        <v>1.0193467524773323</v>
      </c>
      <c r="C12" s="16">
        <f>C11/C10</f>
        <v>0.55496251984931388</v>
      </c>
    </row>
    <row r="13" spans="1:8" x14ac:dyDescent="0.25">
      <c r="A13" s="11" t="s">
        <v>53</v>
      </c>
      <c r="D13" s="16">
        <f>_xlfn.STDEV.S(D3:D8)</f>
        <v>0.531055940349903</v>
      </c>
    </row>
    <row r="14" spans="1:8" x14ac:dyDescent="0.25">
      <c r="A14" s="11" t="s">
        <v>54</v>
      </c>
      <c r="B14" s="23" t="str">
        <f>IF(C12&lt;B12,"CV giảm từ "&amp;TEXT(B12,"0.00")&amp;" xuống "&amp;TEXT(C12,"0.00")&amp;" → có hội tụ sigma","CV không giảm → không hội tụ sigma")</f>
        <v>CV giảm từ 1.02 xuống 0.55 → có hội tụ sigma</v>
      </c>
      <c r="C14" s="24"/>
      <c r="D14" s="24"/>
      <c r="E14" s="24"/>
      <c r="F14" s="25"/>
    </row>
    <row r="16" spans="1:8" ht="30" customHeight="1" x14ac:dyDescent="0.25">
      <c r="A16" s="22" t="s">
        <v>55</v>
      </c>
      <c r="B16" s="21"/>
      <c r="C16" s="21"/>
      <c r="D16" s="21"/>
      <c r="E16" s="21"/>
      <c r="F16" s="21"/>
      <c r="G16" s="21"/>
      <c r="H16" s="21"/>
    </row>
  </sheetData>
  <mergeCells count="2">
    <mergeCell ref="A16:H16"/>
    <mergeCell ref="B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14" customWidth="1"/>
    <col min="4" max="4" width="20" customWidth="1"/>
    <col min="5" max="5" width="22" customWidth="1"/>
    <col min="6" max="7" width="12" customWidth="1"/>
    <col min="8" max="8" width="16" customWidth="1"/>
  </cols>
  <sheetData>
    <row r="1" spans="1:8" ht="17.25" x14ac:dyDescent="0.3">
      <c r="A1" s="2" t="s">
        <v>56</v>
      </c>
    </row>
    <row r="2" spans="1:8" ht="30" customHeight="1" x14ac:dyDescent="0.25">
      <c r="A2" s="22" t="s">
        <v>57</v>
      </c>
      <c r="B2" s="21"/>
      <c r="C2" s="21"/>
      <c r="D2" s="21"/>
      <c r="E2" s="21"/>
      <c r="F2" s="21"/>
      <c r="G2" s="21"/>
      <c r="H2" s="21"/>
    </row>
    <row r="3" spans="1:8" x14ac:dyDescent="0.25">
      <c r="A3" s="3" t="s">
        <v>7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</row>
    <row r="4" spans="1:8" x14ac:dyDescent="0.25">
      <c r="A4" s="4" t="s">
        <v>17</v>
      </c>
      <c r="B4" s="5" t="s">
        <v>19</v>
      </c>
      <c r="C4" s="8">
        <f>'1_Du_lieu'!D3</f>
        <v>84</v>
      </c>
      <c r="D4" s="12">
        <f t="shared" ref="D4:D9" si="0">C4/$C$10</f>
        <v>1.96875</v>
      </c>
      <c r="E4" s="12">
        <f t="shared" ref="E4:E9" si="1">LN(D4)</f>
        <v>0.67739882359180614</v>
      </c>
      <c r="F4" s="12">
        <f t="shared" ref="F4:F9" si="2">D4*E4</f>
        <v>1.3336289339463683</v>
      </c>
    </row>
    <row r="5" spans="1:8" x14ac:dyDescent="0.25">
      <c r="A5" s="4" t="s">
        <v>20</v>
      </c>
      <c r="B5" s="5" t="s">
        <v>19</v>
      </c>
      <c r="C5" s="8">
        <f>'1_Du_lieu'!D4</f>
        <v>51</v>
      </c>
      <c r="D5" s="12">
        <f t="shared" si="0"/>
        <v>1.1953125</v>
      </c>
      <c r="E5" s="12">
        <f t="shared" si="1"/>
        <v>0.17840765747281831</v>
      </c>
      <c r="F5" s="12">
        <f t="shared" si="2"/>
        <v>0.21325290307297814</v>
      </c>
    </row>
    <row r="6" spans="1:8" x14ac:dyDescent="0.25">
      <c r="A6" s="4" t="s">
        <v>22</v>
      </c>
      <c r="B6" s="5" t="s">
        <v>24</v>
      </c>
      <c r="C6" s="8">
        <f>'1_Du_lieu'!D5</f>
        <v>47</v>
      </c>
      <c r="D6" s="12">
        <f t="shared" si="0"/>
        <v>1.1015625</v>
      </c>
      <c r="E6" s="12">
        <f t="shared" si="1"/>
        <v>9.6729626458551113E-2</v>
      </c>
      <c r="F6" s="12">
        <f t="shared" si="2"/>
        <v>0.10655372914574771</v>
      </c>
    </row>
    <row r="7" spans="1:8" x14ac:dyDescent="0.25">
      <c r="A7" s="4" t="s">
        <v>25</v>
      </c>
      <c r="B7" s="5" t="s">
        <v>24</v>
      </c>
      <c r="C7" s="8">
        <f>'1_Du_lieu'!D6</f>
        <v>28</v>
      </c>
      <c r="D7" s="12">
        <f t="shared" si="0"/>
        <v>0.65625</v>
      </c>
      <c r="E7" s="12">
        <f t="shared" si="1"/>
        <v>-0.42121346507630353</v>
      </c>
      <c r="F7" s="12">
        <f t="shared" si="2"/>
        <v>-0.27642133645632416</v>
      </c>
    </row>
    <row r="8" spans="1:8" x14ac:dyDescent="0.25">
      <c r="A8" s="4" t="s">
        <v>27</v>
      </c>
      <c r="B8" s="5" t="s">
        <v>24</v>
      </c>
      <c r="C8" s="8">
        <f>'1_Du_lieu'!D7</f>
        <v>26</v>
      </c>
      <c r="D8" s="12">
        <f t="shared" si="0"/>
        <v>0.609375</v>
      </c>
      <c r="E8" s="12">
        <f t="shared" si="1"/>
        <v>-0.49532143723002542</v>
      </c>
      <c r="F8" s="12">
        <f t="shared" si="2"/>
        <v>-0.30183650081204672</v>
      </c>
    </row>
    <row r="9" spans="1:8" x14ac:dyDescent="0.25">
      <c r="A9" s="4" t="s">
        <v>29</v>
      </c>
      <c r="B9" s="5" t="s">
        <v>24</v>
      </c>
      <c r="C9" s="8">
        <f>'1_Du_lieu'!D8</f>
        <v>20</v>
      </c>
      <c r="D9" s="12">
        <f t="shared" si="0"/>
        <v>0.46875</v>
      </c>
      <c r="E9" s="12">
        <f t="shared" si="1"/>
        <v>-0.75768570169751648</v>
      </c>
      <c r="F9" s="12">
        <f t="shared" si="2"/>
        <v>-0.35516517267071085</v>
      </c>
    </row>
    <row r="10" spans="1:8" x14ac:dyDescent="0.25">
      <c r="A10" s="11" t="s">
        <v>63</v>
      </c>
      <c r="C10" s="15">
        <f>AVERAGE(C4:C9)</f>
        <v>42.666666666666664</v>
      </c>
    </row>
    <row r="11" spans="1:8" x14ac:dyDescent="0.25">
      <c r="A11" s="11" t="s">
        <v>64</v>
      </c>
      <c r="C11" s="10">
        <f>COUNT(C4:C9)</f>
        <v>6</v>
      </c>
    </row>
    <row r="12" spans="1:8" x14ac:dyDescent="0.25">
      <c r="A12" s="11" t="s">
        <v>65</v>
      </c>
      <c r="F12" s="13">
        <f>SUM(F4:F9)/C11</f>
        <v>0.12000209270433541</v>
      </c>
    </row>
    <row r="14" spans="1:8" x14ac:dyDescent="0.25">
      <c r="A14" s="17" t="s">
        <v>66</v>
      </c>
    </row>
    <row r="15" spans="1:8" x14ac:dyDescent="0.25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73</v>
      </c>
      <c r="H15" s="3" t="s">
        <v>74</v>
      </c>
    </row>
    <row r="16" spans="1:8" x14ac:dyDescent="0.25">
      <c r="A16" s="5" t="s">
        <v>19</v>
      </c>
      <c r="B16" s="10">
        <f>COUNTIF($B$4:$B$9,A16)</f>
        <v>2</v>
      </c>
      <c r="C16" s="15">
        <f>AVERAGEIF($B$4:$B$9,A16,$C$4:$C$9)</f>
        <v>67.5</v>
      </c>
      <c r="D16" s="12">
        <f>B16/$C$11*C16/$C$10</f>
        <v>0.52734375</v>
      </c>
      <c r="E16" s="12">
        <f>SUMPRODUCT(($B$4:$B$9=A16)*($C$4:$C$9/C16)*LN($C$4:$C$9/C16))/B16</f>
        <v>3.0181427097656296E-2</v>
      </c>
      <c r="F16" s="12">
        <f>D16*E16</f>
        <v>1.5915986946029689E-2</v>
      </c>
      <c r="G16" s="12">
        <f>LN(C16/$C$10)</f>
        <v>0.45870962262697668</v>
      </c>
      <c r="H16" s="12">
        <f>D16*G16</f>
        <v>0.24189765255719473</v>
      </c>
    </row>
    <row r="17" spans="1:8" x14ac:dyDescent="0.25">
      <c r="A17" s="5" t="s">
        <v>24</v>
      </c>
      <c r="B17" s="10">
        <f>COUNTIF($B$4:$B$9,A17)</f>
        <v>4</v>
      </c>
      <c r="C17" s="15">
        <f>AVERAGEIF($B$4:$B$9,A17,$C$4:$C$9)</f>
        <v>30.25</v>
      </c>
      <c r="D17" s="12">
        <f>B17/$C$11*C17/$C$10</f>
        <v>0.47265624999999994</v>
      </c>
      <c r="E17" s="12">
        <f>SUMPRODUCT(($B$4:$B$9=A17)*($C$4:$C$9/C17)*LN($C$4:$C$9/C17))/B17</f>
        <v>5.2353559530726512E-2</v>
      </c>
      <c r="F17" s="12">
        <f>D17*E17</f>
        <v>2.474523712194495E-2</v>
      </c>
      <c r="G17" s="12">
        <f>LN(C17/$C$10)</f>
        <v>-0.34392179077465701</v>
      </c>
      <c r="H17" s="12">
        <f>D17*G17</f>
        <v>-0.16255678392083395</v>
      </c>
    </row>
    <row r="18" spans="1:8" x14ac:dyDescent="0.25">
      <c r="A18" s="11" t="s">
        <v>42</v>
      </c>
      <c r="F18" s="13">
        <f>SUM(F16:F17)</f>
        <v>4.0661224067974636E-2</v>
      </c>
      <c r="H18" s="13">
        <f>SUM(H16:H17)</f>
        <v>7.9340868636360778E-2</v>
      </c>
    </row>
    <row r="19" spans="1:8" x14ac:dyDescent="0.25">
      <c r="A19" s="11" t="s">
        <v>75</v>
      </c>
      <c r="F19" s="13">
        <f>F18</f>
        <v>4.0661224067974636E-2</v>
      </c>
    </row>
    <row r="20" spans="1:8" x14ac:dyDescent="0.25">
      <c r="A20" s="11" t="s">
        <v>76</v>
      </c>
      <c r="F20" s="13">
        <f>H18</f>
        <v>7.9340868636360778E-2</v>
      </c>
    </row>
    <row r="21" spans="1:8" x14ac:dyDescent="0.25">
      <c r="A21" s="11" t="s">
        <v>77</v>
      </c>
      <c r="F21" s="12">
        <f>F18+H18</f>
        <v>0.12000209270433541</v>
      </c>
      <c r="G21" s="10" t="str">
        <f>IF(ABS(F21-F12)&lt;0.00001,"✓ bằng nhau","✗ sai")</f>
        <v>✓ bằng nhau</v>
      </c>
    </row>
    <row r="22" spans="1:8" x14ac:dyDescent="0.25">
      <c r="A22" s="11" t="s">
        <v>78</v>
      </c>
      <c r="F22" s="18">
        <f>H18/F12*100</f>
        <v>66.116237515826555</v>
      </c>
    </row>
    <row r="24" spans="1:8" ht="30" customHeight="1" x14ac:dyDescent="0.25">
      <c r="A24" s="22" t="s">
        <v>79</v>
      </c>
      <c r="B24" s="21"/>
      <c r="C24" s="21"/>
      <c r="D24" s="21"/>
      <c r="E24" s="21"/>
      <c r="F24" s="21"/>
      <c r="G24" s="21"/>
      <c r="H24" s="21"/>
    </row>
  </sheetData>
  <mergeCells count="2">
    <mergeCell ref="A24:H24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workbookViewId="0"/>
  </sheetViews>
  <sheetFormatPr defaultRowHeight="15" x14ac:dyDescent="0.25"/>
  <cols>
    <col min="1" max="1" width="30" customWidth="1"/>
    <col min="2" max="2" width="26" customWidth="1"/>
    <col min="3" max="3" width="13" customWidth="1"/>
    <col min="4" max="4" width="40" customWidth="1"/>
    <col min="5" max="13" width="13" customWidth="1"/>
  </cols>
  <sheetData>
    <row r="1" spans="1:13" ht="17.25" x14ac:dyDescent="0.3">
      <c r="A1" s="2" t="s">
        <v>80</v>
      </c>
    </row>
    <row r="2" spans="1:13" ht="30" customHeight="1" x14ac:dyDescent="0.25">
      <c r="A2" s="22" t="s">
        <v>81</v>
      </c>
      <c r="B2" s="21"/>
      <c r="C2" s="21"/>
      <c r="D2" s="21"/>
      <c r="E2" s="21"/>
      <c r="F2" s="21"/>
      <c r="G2" s="21"/>
      <c r="H2" s="21"/>
    </row>
    <row r="3" spans="1:13" ht="30" x14ac:dyDescent="0.25">
      <c r="A3" s="3" t="s">
        <v>7</v>
      </c>
      <c r="B3" s="3" t="s">
        <v>82</v>
      </c>
      <c r="C3" s="3" t="s">
        <v>83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  <c r="I3" s="3" t="s">
        <v>89</v>
      </c>
      <c r="J3" s="3" t="s">
        <v>90</v>
      </c>
      <c r="K3" s="3" t="s">
        <v>91</v>
      </c>
      <c r="L3" s="3" t="s">
        <v>92</v>
      </c>
      <c r="M3" s="3" t="s">
        <v>93</v>
      </c>
    </row>
    <row r="4" spans="1:13" x14ac:dyDescent="0.25">
      <c r="A4" s="4" t="s">
        <v>17</v>
      </c>
      <c r="B4" s="5">
        <f>'1_Du_lieu'!E3</f>
        <v>97</v>
      </c>
      <c r="C4" s="5">
        <f>'1_Du_lieu'!F3</f>
        <v>77</v>
      </c>
      <c r="D4" s="5">
        <f>'1_Du_lieu'!G3</f>
        <v>85</v>
      </c>
      <c r="E4" s="9">
        <f t="shared" ref="E4:E9" si="0">0.2*B4</f>
        <v>19.400000000000002</v>
      </c>
      <c r="F4" s="9">
        <f t="shared" ref="F4:G9" si="1">0.4*C4</f>
        <v>30.8</v>
      </c>
      <c r="G4" s="9">
        <f t="shared" si="1"/>
        <v>34</v>
      </c>
      <c r="H4" s="9">
        <f t="shared" ref="H4:H9" si="2">E4+F4+G4</f>
        <v>84.2</v>
      </c>
      <c r="I4" s="8">
        <f>'1_Du_lieu'!D3</f>
        <v>84</v>
      </c>
      <c r="J4" s="15">
        <f t="shared" ref="J4:J9" si="3">_xlfn.RANK.AVG(H4,$H$4:$H$9,1)/6</f>
        <v>1</v>
      </c>
      <c r="K4" s="15">
        <f t="shared" ref="K4:K9" si="4">_xlfn.RANK.AVG(E4,$E$4:$E$9,1)/6</f>
        <v>1</v>
      </c>
      <c r="L4" s="15">
        <f t="shared" ref="L4:L9" si="5">_xlfn.RANK.AVG(F4,$F$4:$F$9,1)/6</f>
        <v>1</v>
      </c>
      <c r="M4" s="15">
        <f t="shared" ref="M4:M9" si="6">_xlfn.RANK.AVG(G4,$G$4:$G$9,1)/6</f>
        <v>1</v>
      </c>
    </row>
    <row r="5" spans="1:13" x14ac:dyDescent="0.25">
      <c r="A5" s="4" t="s">
        <v>20</v>
      </c>
      <c r="B5" s="5">
        <f>'1_Du_lieu'!E4</f>
        <v>36</v>
      </c>
      <c r="C5" s="5">
        <f>'1_Du_lieu'!F4</f>
        <v>47</v>
      </c>
      <c r="D5" s="5">
        <f>'1_Du_lieu'!G4</f>
        <v>63</v>
      </c>
      <c r="E5" s="9">
        <f t="shared" si="0"/>
        <v>7.2</v>
      </c>
      <c r="F5" s="9">
        <f t="shared" si="1"/>
        <v>18.8</v>
      </c>
      <c r="G5" s="9">
        <f t="shared" si="1"/>
        <v>25.200000000000003</v>
      </c>
      <c r="H5" s="9">
        <f t="shared" si="2"/>
        <v>51.2</v>
      </c>
      <c r="I5" s="8">
        <f>'1_Du_lieu'!D4</f>
        <v>51</v>
      </c>
      <c r="J5" s="15">
        <f t="shared" si="3"/>
        <v>0.83333333333333337</v>
      </c>
      <c r="K5" s="15">
        <f t="shared" si="4"/>
        <v>0.66666666666666663</v>
      </c>
      <c r="L5" s="15">
        <f t="shared" si="5"/>
        <v>0.83333333333333337</v>
      </c>
      <c r="M5" s="15">
        <f t="shared" si="6"/>
        <v>0.83333333333333337</v>
      </c>
    </row>
    <row r="6" spans="1:13" x14ac:dyDescent="0.25">
      <c r="A6" s="4" t="s">
        <v>22</v>
      </c>
      <c r="B6" s="5">
        <f>'1_Du_lieu'!E5</f>
        <v>70</v>
      </c>
      <c r="C6" s="5">
        <f>'1_Du_lieu'!F5</f>
        <v>31</v>
      </c>
      <c r="D6" s="5">
        <f>'1_Du_lieu'!G5</f>
        <v>52</v>
      </c>
      <c r="E6" s="9">
        <f t="shared" si="0"/>
        <v>14</v>
      </c>
      <c r="F6" s="9">
        <f t="shared" si="1"/>
        <v>12.4</v>
      </c>
      <c r="G6" s="9">
        <f t="shared" si="1"/>
        <v>20.8</v>
      </c>
      <c r="H6" s="9">
        <f t="shared" si="2"/>
        <v>47.2</v>
      </c>
      <c r="I6" s="8">
        <f>'1_Du_lieu'!D5</f>
        <v>47</v>
      </c>
      <c r="J6" s="15">
        <f t="shared" si="3"/>
        <v>0.66666666666666663</v>
      </c>
      <c r="K6" s="15">
        <f t="shared" si="4"/>
        <v>0.83333333333333337</v>
      </c>
      <c r="L6" s="15">
        <f t="shared" si="5"/>
        <v>0.5</v>
      </c>
      <c r="M6" s="15">
        <f t="shared" si="6"/>
        <v>0.66666666666666663</v>
      </c>
    </row>
    <row r="7" spans="1:13" x14ac:dyDescent="0.25">
      <c r="A7" s="4" t="s">
        <v>25</v>
      </c>
      <c r="B7" s="5">
        <f>'1_Du_lieu'!E6</f>
        <v>29</v>
      </c>
      <c r="C7" s="5">
        <f>'1_Du_lieu'!F6</f>
        <v>33</v>
      </c>
      <c r="D7" s="5">
        <f>'1_Du_lieu'!G6</f>
        <v>23</v>
      </c>
      <c r="E7" s="9">
        <f t="shared" si="0"/>
        <v>5.8000000000000007</v>
      </c>
      <c r="F7" s="9">
        <f t="shared" si="1"/>
        <v>13.200000000000001</v>
      </c>
      <c r="G7" s="9">
        <f t="shared" si="1"/>
        <v>9.2000000000000011</v>
      </c>
      <c r="H7" s="9">
        <f t="shared" si="2"/>
        <v>28.200000000000003</v>
      </c>
      <c r="I7" s="8">
        <f>'1_Du_lieu'!D6</f>
        <v>28</v>
      </c>
      <c r="J7" s="15">
        <f t="shared" si="3"/>
        <v>0.5</v>
      </c>
      <c r="K7" s="15">
        <f t="shared" si="4"/>
        <v>0.5</v>
      </c>
      <c r="L7" s="15">
        <f t="shared" si="5"/>
        <v>0.66666666666666663</v>
      </c>
      <c r="M7" s="15">
        <f t="shared" si="6"/>
        <v>0.33333333333333331</v>
      </c>
    </row>
    <row r="8" spans="1:13" x14ac:dyDescent="0.25">
      <c r="A8" s="4" t="s">
        <v>27</v>
      </c>
      <c r="B8" s="5">
        <f>'1_Du_lieu'!E7</f>
        <v>28</v>
      </c>
      <c r="C8" s="5">
        <f>'1_Du_lieu'!F7</f>
        <v>24</v>
      </c>
      <c r="D8" s="5">
        <f>'1_Du_lieu'!G7</f>
        <v>26</v>
      </c>
      <c r="E8" s="9">
        <f t="shared" si="0"/>
        <v>5.6000000000000005</v>
      </c>
      <c r="F8" s="9">
        <f t="shared" si="1"/>
        <v>9.6000000000000014</v>
      </c>
      <c r="G8" s="9">
        <f t="shared" si="1"/>
        <v>10.4</v>
      </c>
      <c r="H8" s="9">
        <f t="shared" si="2"/>
        <v>25.6</v>
      </c>
      <c r="I8" s="8">
        <f>'1_Du_lieu'!D7</f>
        <v>26</v>
      </c>
      <c r="J8" s="15">
        <f t="shared" si="3"/>
        <v>0.33333333333333331</v>
      </c>
      <c r="K8" s="15">
        <f t="shared" si="4"/>
        <v>0.33333333333333331</v>
      </c>
      <c r="L8" s="15">
        <f t="shared" si="5"/>
        <v>0.16666666666666666</v>
      </c>
      <c r="M8" s="15">
        <f t="shared" si="6"/>
        <v>0.5</v>
      </c>
    </row>
    <row r="9" spans="1:13" x14ac:dyDescent="0.25">
      <c r="A9" s="4" t="s">
        <v>29</v>
      </c>
      <c r="B9" s="5">
        <f>'1_Du_lieu'!E8</f>
        <v>21</v>
      </c>
      <c r="C9" s="5">
        <f>'1_Du_lieu'!F8</f>
        <v>26</v>
      </c>
      <c r="D9" s="5">
        <f>'1_Du_lieu'!G8</f>
        <v>14</v>
      </c>
      <c r="E9" s="9">
        <f t="shared" si="0"/>
        <v>4.2</v>
      </c>
      <c r="F9" s="9">
        <f t="shared" si="1"/>
        <v>10.4</v>
      </c>
      <c r="G9" s="9">
        <f t="shared" si="1"/>
        <v>5.6000000000000005</v>
      </c>
      <c r="H9" s="9">
        <f t="shared" si="2"/>
        <v>20.200000000000003</v>
      </c>
      <c r="I9" s="8">
        <f>'1_Du_lieu'!D8</f>
        <v>20</v>
      </c>
      <c r="J9" s="15">
        <f t="shared" si="3"/>
        <v>0.16666666666666666</v>
      </c>
      <c r="K9" s="15">
        <f t="shared" si="4"/>
        <v>0.16666666666666666</v>
      </c>
      <c r="L9" s="15">
        <f t="shared" si="5"/>
        <v>0.33333333333333331</v>
      </c>
      <c r="M9" s="15">
        <f t="shared" si="6"/>
        <v>0.16666666666666666</v>
      </c>
    </row>
    <row r="11" spans="1:13" ht="30" x14ac:dyDescent="0.25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99</v>
      </c>
    </row>
    <row r="12" spans="1:13" x14ac:dyDescent="0.25">
      <c r="A12" s="5" t="s">
        <v>82</v>
      </c>
      <c r="B12" s="12">
        <f>AVERAGE($E$4:$E$9)/AVERAGE($H$4:$H$9)</f>
        <v>0.21901792673421669</v>
      </c>
      <c r="C12" s="12">
        <f>(2*SUMPRODUCT(_xlfn.RANK.AVG($E$4:$E$9,$E$4:$E$9,1),$E$4:$E$9)/(6*SUM($E$4:$E$9))-(6+1)/6)</f>
        <v>0.30427046263345159</v>
      </c>
      <c r="D12" s="12">
        <f>_xlfn.COVARIANCE.S($E$4:$E$9,$J$4:$J$9)/_xlfn.COVARIANCE.S($E$4:$E$9,$K$4:$K$9)</f>
        <v>0.86744639376218324</v>
      </c>
      <c r="E12" s="12">
        <f>B12*C12*D12</f>
        <v>5.7807222655235059E-2</v>
      </c>
      <c r="F12" s="18">
        <f>E12/SUM($E$12:$E$14)*100</f>
        <v>21.404521404521397</v>
      </c>
    </row>
    <row r="13" spans="1:13" x14ac:dyDescent="0.25">
      <c r="A13" s="5" t="s">
        <v>83</v>
      </c>
      <c r="B13" s="12">
        <f>AVERAGE($F$4:$F$9)/AVERAGE($H$4:$H$9)</f>
        <v>0.37100545596258766</v>
      </c>
      <c r="C13" s="12">
        <f>(2*SUMPRODUCT(_xlfn.RANK.AVG($F$4:$F$9,$F$4:$F$9,1),$F$4:$F$9)/(6*SUM($F$4:$F$9))-(6+1)/6)</f>
        <v>0.23109243697478998</v>
      </c>
      <c r="D13" s="12">
        <f>_xlfn.COVARIANCE.S($F$4:$F$9,$J$4:$J$9)/_xlfn.COVARIANCE.S($F$4:$F$9,$L$4:$L$9)</f>
        <v>0.97575757575757582</v>
      </c>
      <c r="E13" s="12">
        <f>B13*C13*D13</f>
        <v>8.3658093011171747E-2</v>
      </c>
      <c r="F13" s="18">
        <f>E13/SUM($E$12:$E$14)*100</f>
        <v>30.976430976431008</v>
      </c>
    </row>
    <row r="14" spans="1:13" x14ac:dyDescent="0.25">
      <c r="A14" s="5" t="s">
        <v>84</v>
      </c>
      <c r="B14" s="12">
        <f>AVERAGE($G$4:$G$9)/AVERAGE($H$4:$H$9)</f>
        <v>0.40997661730319562</v>
      </c>
      <c r="C14" s="12">
        <f>(2*SUMPRODUCT(_xlfn.RANK.AVG($G$4:$G$9,$G$4:$G$9,1),$G$4:$G$9)/(6*SUM($G$4:$G$9))-(6+1)/6)</f>
        <v>0.31749049429657772</v>
      </c>
      <c r="D14" s="12">
        <f>_xlfn.COVARIANCE.S($G$4:$G$9,$J$4:$J$9)/_xlfn.COVARIANCE.S($G$4:$G$9,$M$4:$M$9)</f>
        <v>0.98802395209580807</v>
      </c>
      <c r="E14" s="12">
        <f>B14*C14*D14</f>
        <v>0.12860483242400608</v>
      </c>
      <c r="F14" s="18">
        <f>E14/SUM($E$12:$E$14)*100</f>
        <v>47.619047619047606</v>
      </c>
    </row>
    <row r="15" spans="1:13" x14ac:dyDescent="0.25">
      <c r="A15" s="11" t="s">
        <v>100</v>
      </c>
      <c r="E15" s="13">
        <f>SUM(E12:E14)</f>
        <v>0.27007014809041285</v>
      </c>
    </row>
    <row r="16" spans="1:13" x14ac:dyDescent="0.25">
      <c r="A16" s="11" t="s">
        <v>101</v>
      </c>
      <c r="E16" s="12">
        <f>(2*SUMPRODUCT(_xlfn.RANK.AVG($H$4:$H$9,$H$4:$H$9,1),$H$4:$H$9)/(6*SUM($H$4:$H$9))-(6+1)/6)</f>
        <v>0.27007014809041285</v>
      </c>
    </row>
    <row r="18" spans="1:8" ht="30" customHeight="1" x14ac:dyDescent="0.25">
      <c r="A18" s="22" t="s">
        <v>102</v>
      </c>
      <c r="B18" s="21"/>
      <c r="C18" s="21"/>
      <c r="D18" s="21"/>
      <c r="E18" s="21"/>
      <c r="F18" s="21"/>
      <c r="G18" s="21"/>
      <c r="H18" s="21"/>
    </row>
  </sheetData>
  <mergeCells count="2">
    <mergeCell ref="A18:H18"/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workbookViewId="0"/>
  </sheetViews>
  <sheetFormatPr defaultRowHeight="15" x14ac:dyDescent="0.25"/>
  <cols>
    <col min="1" max="1" width="36" customWidth="1"/>
    <col min="2" max="3" width="14" customWidth="1"/>
    <col min="4" max="5" width="12" customWidth="1"/>
    <col min="6" max="6" width="20" customWidth="1"/>
    <col min="7" max="8" width="10" customWidth="1"/>
    <col min="9" max="9" width="14" customWidth="1"/>
    <col min="10" max="10" width="10" customWidth="1"/>
  </cols>
  <sheetData>
    <row r="1" spans="1:10" ht="17.25" x14ac:dyDescent="0.3">
      <c r="A1" s="2" t="s">
        <v>103</v>
      </c>
    </row>
    <row r="2" spans="1:10" ht="30" customHeight="1" x14ac:dyDescent="0.25">
      <c r="A2" s="22" t="s">
        <v>104</v>
      </c>
      <c r="B2" s="21"/>
      <c r="C2" s="21"/>
      <c r="D2" s="21"/>
      <c r="E2" s="21"/>
      <c r="F2" s="21"/>
      <c r="G2" s="21"/>
      <c r="H2" s="21"/>
    </row>
    <row r="3" spans="1:10" x14ac:dyDescent="0.25">
      <c r="A3" s="3" t="s">
        <v>7</v>
      </c>
      <c r="B3" s="3" t="s">
        <v>105</v>
      </c>
      <c r="C3" s="3" t="s">
        <v>106</v>
      </c>
      <c r="D3" s="3" t="s">
        <v>107</v>
      </c>
      <c r="E3" s="3" t="s">
        <v>108</v>
      </c>
      <c r="F3" s="3" t="s">
        <v>109</v>
      </c>
      <c r="G3" s="3" t="s">
        <v>110</v>
      </c>
      <c r="H3" s="3" t="s">
        <v>111</v>
      </c>
      <c r="I3" s="3" t="s">
        <v>112</v>
      </c>
      <c r="J3" s="3" t="s">
        <v>113</v>
      </c>
    </row>
    <row r="4" spans="1:10" x14ac:dyDescent="0.25">
      <c r="A4" s="4" t="s">
        <v>17</v>
      </c>
      <c r="B4" s="14">
        <f>'1_Du_lieu'!H3</f>
        <v>55.66</v>
      </c>
      <c r="C4" s="8">
        <f>'1_Du_lieu'!D3</f>
        <v>84</v>
      </c>
      <c r="D4" s="12">
        <f t="shared" ref="D4:E9" si="0">LN(B4)</f>
        <v>4.0192617560977446</v>
      </c>
      <c r="E4" s="12">
        <f t="shared" si="0"/>
        <v>4.4308167988433134</v>
      </c>
      <c r="F4" s="12">
        <f t="shared" ref="F4:F9" si="1">(E4-D4)/$B$16</f>
        <v>0.13718501424852292</v>
      </c>
      <c r="G4" s="12">
        <f t="shared" ref="G4:G9" si="2">D4-$D$13</f>
        <v>1.4265770406554252</v>
      </c>
      <c r="H4" s="12">
        <f t="shared" ref="H4:H9" si="3">F4-$F$13</f>
        <v>-0.20963248921672478</v>
      </c>
      <c r="I4" s="12">
        <f t="shared" ref="I4:I9" si="4">G4*H4</f>
        <v>-0.29905689609202557</v>
      </c>
      <c r="J4" s="12">
        <f t="shared" ref="J4:J9" si="5">G4^2</f>
        <v>2.0351220529251908</v>
      </c>
    </row>
    <row r="5" spans="1:10" x14ac:dyDescent="0.25">
      <c r="A5" s="4" t="s">
        <v>20</v>
      </c>
      <c r="B5" s="14">
        <f>'1_Du_lieu'!H4</f>
        <v>14.76</v>
      </c>
      <c r="C5" s="8">
        <f>'1_Du_lieu'!D4</f>
        <v>51</v>
      </c>
      <c r="D5" s="12">
        <f t="shared" si="0"/>
        <v>2.6919208191723265</v>
      </c>
      <c r="E5" s="12">
        <f t="shared" si="0"/>
        <v>3.9318256327243257</v>
      </c>
      <c r="F5" s="12">
        <f t="shared" si="1"/>
        <v>0.41330160451733305</v>
      </c>
      <c r="G5" s="12">
        <f t="shared" si="2"/>
        <v>9.923610373000713E-2</v>
      </c>
      <c r="H5" s="12">
        <f t="shared" si="3"/>
        <v>6.6484101052085354E-2</v>
      </c>
      <c r="I5" s="12">
        <f t="shared" si="4"/>
        <v>6.5976231484010184E-3</v>
      </c>
      <c r="J5" s="12">
        <f t="shared" si="5"/>
        <v>9.8478042835127358E-3</v>
      </c>
    </row>
    <row r="6" spans="1:10" x14ac:dyDescent="0.25">
      <c r="A6" s="4" t="s">
        <v>22</v>
      </c>
      <c r="B6" s="14">
        <f>'1_Du_lieu'!H5</f>
        <v>19.04</v>
      </c>
      <c r="C6" s="8">
        <f>'1_Du_lieu'!D5</f>
        <v>47</v>
      </c>
      <c r="D6" s="12">
        <f t="shared" si="0"/>
        <v>2.9465420293632194</v>
      </c>
      <c r="E6" s="12">
        <f t="shared" si="0"/>
        <v>3.8501476017100584</v>
      </c>
      <c r="F6" s="12">
        <f t="shared" si="1"/>
        <v>0.30120185744894634</v>
      </c>
      <c r="G6" s="12">
        <f t="shared" si="2"/>
        <v>0.35385731392090003</v>
      </c>
      <c r="H6" s="12">
        <f t="shared" si="3"/>
        <v>-4.5615646016301359E-2</v>
      </c>
      <c r="I6" s="12">
        <f t="shared" si="4"/>
        <v>-1.6141429972095004E-2</v>
      </c>
      <c r="J6" s="12">
        <f t="shared" si="5"/>
        <v>0.12521499861531438</v>
      </c>
    </row>
    <row r="7" spans="1:10" x14ac:dyDescent="0.25">
      <c r="A7" s="4" t="s">
        <v>25</v>
      </c>
      <c r="B7" s="14">
        <f>'1_Du_lieu'!H6</f>
        <v>8.59</v>
      </c>
      <c r="C7" s="8">
        <f>'1_Du_lieu'!D6</f>
        <v>28</v>
      </c>
      <c r="D7" s="12">
        <f t="shared" si="0"/>
        <v>2.150598735996164</v>
      </c>
      <c r="E7" s="12">
        <f t="shared" si="0"/>
        <v>3.3322045101752038</v>
      </c>
      <c r="F7" s="12">
        <f t="shared" si="1"/>
        <v>0.39386859139301328</v>
      </c>
      <c r="G7" s="12">
        <f t="shared" si="2"/>
        <v>-0.44208597944615535</v>
      </c>
      <c r="H7" s="12">
        <f t="shared" si="3"/>
        <v>4.7051087927765578E-2</v>
      </c>
      <c r="I7" s="12">
        <f t="shared" si="4"/>
        <v>-2.0800626290553421E-2</v>
      </c>
      <c r="J7" s="12">
        <f t="shared" si="5"/>
        <v>0.1954400132228665</v>
      </c>
    </row>
    <row r="8" spans="1:10" x14ac:dyDescent="0.25">
      <c r="A8" s="4" t="s">
        <v>27</v>
      </c>
      <c r="B8" s="14">
        <f>'1_Du_lieu'!H7</f>
        <v>6.65</v>
      </c>
      <c r="C8" s="8">
        <f>'1_Du_lieu'!D7</f>
        <v>26</v>
      </c>
      <c r="D8" s="12">
        <f t="shared" si="0"/>
        <v>1.8946168546677629</v>
      </c>
      <c r="E8" s="12">
        <f t="shared" si="0"/>
        <v>3.2580965380214821</v>
      </c>
      <c r="F8" s="12">
        <f t="shared" si="1"/>
        <v>0.45449322778457307</v>
      </c>
      <c r="G8" s="12">
        <f t="shared" si="2"/>
        <v>-0.69806786077455651</v>
      </c>
      <c r="H8" s="12">
        <f t="shared" si="3"/>
        <v>0.10767572431932537</v>
      </c>
      <c r="I8" s="12">
        <f t="shared" si="4"/>
        <v>-7.5164962532942359E-2</v>
      </c>
      <c r="J8" s="12">
        <f t="shared" si="5"/>
        <v>0.4872987382463656</v>
      </c>
    </row>
    <row r="9" spans="1:10" x14ac:dyDescent="0.25">
      <c r="A9" s="4" t="s">
        <v>29</v>
      </c>
      <c r="B9" s="14">
        <f>'1_Du_lieu'!H8</f>
        <v>6.38</v>
      </c>
      <c r="C9" s="8">
        <f>'1_Du_lieu'!D8</f>
        <v>20</v>
      </c>
      <c r="D9" s="12">
        <f t="shared" si="0"/>
        <v>1.8531680973566984</v>
      </c>
      <c r="E9" s="12">
        <f t="shared" si="0"/>
        <v>2.9957322735539909</v>
      </c>
      <c r="F9" s="12">
        <f t="shared" si="1"/>
        <v>0.38085472539909748</v>
      </c>
      <c r="G9" s="12">
        <f t="shared" si="2"/>
        <v>-0.73951661808562097</v>
      </c>
      <c r="H9" s="12">
        <f t="shared" si="3"/>
        <v>3.4037221933849782E-2</v>
      </c>
      <c r="I9" s="12">
        <f t="shared" si="4"/>
        <v>-2.5171091253550309E-2</v>
      </c>
      <c r="J9" s="12">
        <f t="shared" si="5"/>
        <v>0.54688482842479413</v>
      </c>
    </row>
    <row r="10" spans="1:10" x14ac:dyDescent="0.25">
      <c r="A10" t="s">
        <v>114</v>
      </c>
    </row>
    <row r="13" spans="1:10" x14ac:dyDescent="0.25">
      <c r="A13" s="11" t="s">
        <v>50</v>
      </c>
      <c r="D13" s="12">
        <f>AVERAGE(D4:D9)</f>
        <v>2.5926847154423194</v>
      </c>
      <c r="F13" s="12">
        <f>AVERAGE(F4:F9)</f>
        <v>0.3468175034652477</v>
      </c>
      <c r="I13" s="12">
        <f>SUM(I4:I9)</f>
        <v>-0.42973738299276565</v>
      </c>
      <c r="J13" s="12">
        <f>SUM(J4:J9)</f>
        <v>3.399808435718044</v>
      </c>
    </row>
    <row r="16" spans="1:10" x14ac:dyDescent="0.25">
      <c r="A16" s="11" t="s">
        <v>115</v>
      </c>
      <c r="B16" s="5">
        <v>3</v>
      </c>
    </row>
    <row r="17" spans="1:8" x14ac:dyDescent="0.25">
      <c r="A17" s="11" t="s">
        <v>116</v>
      </c>
      <c r="B17" s="13">
        <f>I13/J13</f>
        <v>-0.1264004696494038</v>
      </c>
      <c r="C17" s="4" t="s">
        <v>117</v>
      </c>
      <c r="D17" s="12">
        <f>SLOPE(F4:F9,D4:D9)</f>
        <v>-0.1264004696494038</v>
      </c>
    </row>
    <row r="18" spans="1:8" x14ac:dyDescent="0.25">
      <c r="A18" s="11" t="s">
        <v>118</v>
      </c>
      <c r="B18" s="13">
        <f>F13-B17*D13</f>
        <v>0.6745340691499877</v>
      </c>
      <c r="C18" s="4" t="s">
        <v>119</v>
      </c>
      <c r="D18" s="12">
        <f>INTERCEPT(F4:F9,D4:D9)</f>
        <v>0.6745340691499877</v>
      </c>
    </row>
    <row r="19" spans="1:8" x14ac:dyDescent="0.25">
      <c r="A19" s="11" t="s">
        <v>120</v>
      </c>
      <c r="B19" s="15">
        <f>RSQ(F4:F9,D4:D9)</f>
        <v>0.8303994931501979</v>
      </c>
    </row>
    <row r="20" spans="1:8" x14ac:dyDescent="0.25">
      <c r="A20" s="11" t="s">
        <v>121</v>
      </c>
      <c r="B20" s="13">
        <f>-LN(1+B17*B16)/B16</f>
        <v>0.15891619322811434</v>
      </c>
    </row>
    <row r="21" spans="1:8" x14ac:dyDescent="0.25">
      <c r="A21" s="11" t="s">
        <v>122</v>
      </c>
      <c r="B21" s="18">
        <f>B20*100</f>
        <v>15.891619322811435</v>
      </c>
    </row>
    <row r="22" spans="1:8" x14ac:dyDescent="0.25">
      <c r="A22" s="11" t="s">
        <v>123</v>
      </c>
      <c r="B22" s="18">
        <f>LN(2)/B20</f>
        <v>4.3617152316565715</v>
      </c>
    </row>
    <row r="23" spans="1:8" x14ac:dyDescent="0.25">
      <c r="A23" s="11" t="s">
        <v>54</v>
      </c>
      <c r="B23" s="23" t="str">
        <f>IF(B17&lt;0,"β âm → tỉnh thấp tăng nhanh hơn → HỘI TỤ","β dương → PHÂN KỲ")</f>
        <v>β âm → tỉnh thấp tăng nhanh hơn → HỘI TỤ</v>
      </c>
      <c r="C23" s="24"/>
      <c r="D23" s="24"/>
      <c r="E23" s="24"/>
      <c r="F23" s="25"/>
    </row>
    <row r="25" spans="1:8" ht="30" customHeight="1" x14ac:dyDescent="0.25">
      <c r="A25" s="22" t="s">
        <v>124</v>
      </c>
      <c r="B25" s="21"/>
      <c r="C25" s="21"/>
      <c r="D25" s="21"/>
      <c r="E25" s="21"/>
      <c r="F25" s="21"/>
      <c r="G25" s="21"/>
      <c r="H25" s="21"/>
    </row>
  </sheetData>
  <mergeCells count="3">
    <mergeCell ref="A25:H25"/>
    <mergeCell ref="A2:H2"/>
    <mergeCell ref="B23:F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/>
  </sheetViews>
  <sheetFormatPr defaultRowHeight="15" x14ac:dyDescent="0.25"/>
  <cols>
    <col min="1" max="1" width="44" customWidth="1"/>
    <col min="2" max="3" width="14" customWidth="1"/>
    <col min="4" max="5" width="10" customWidth="1"/>
    <col min="6" max="6" width="12" customWidth="1"/>
    <col min="7" max="7" width="10" customWidth="1"/>
    <col min="8" max="9" width="14" customWidth="1"/>
    <col min="10" max="10" width="10" customWidth="1"/>
  </cols>
  <sheetData>
    <row r="1" spans="1:10" ht="17.25" x14ac:dyDescent="0.3">
      <c r="A1" s="2" t="s">
        <v>125</v>
      </c>
    </row>
    <row r="2" spans="1:10" ht="30" customHeight="1" x14ac:dyDescent="0.25">
      <c r="A2" s="22" t="s">
        <v>126</v>
      </c>
      <c r="B2" s="21"/>
      <c r="C2" s="21"/>
      <c r="D2" s="21"/>
      <c r="E2" s="21"/>
      <c r="F2" s="21"/>
      <c r="G2" s="21"/>
      <c r="H2" s="21"/>
    </row>
    <row r="3" spans="1:10" ht="30" x14ac:dyDescent="0.25">
      <c r="A3" s="3" t="s">
        <v>7</v>
      </c>
      <c r="B3" s="3" t="s">
        <v>127</v>
      </c>
      <c r="C3" s="3" t="s">
        <v>128</v>
      </c>
      <c r="D3" s="3" t="s">
        <v>110</v>
      </c>
      <c r="E3" s="3" t="s">
        <v>129</v>
      </c>
      <c r="F3" s="3" t="s">
        <v>130</v>
      </c>
      <c r="G3" s="3" t="s">
        <v>113</v>
      </c>
      <c r="H3" s="3" t="s">
        <v>131</v>
      </c>
      <c r="I3" s="3" t="s">
        <v>132</v>
      </c>
      <c r="J3" s="3" t="s">
        <v>133</v>
      </c>
    </row>
    <row r="4" spans="1:10" x14ac:dyDescent="0.25">
      <c r="A4" s="4" t="s">
        <v>17</v>
      </c>
      <c r="B4" s="14">
        <f>'1_Du_lieu'!I3</f>
        <v>22.58</v>
      </c>
      <c r="C4" s="12">
        <f>LN('1_Du_lieu'!D3)</f>
        <v>4.4308167988433134</v>
      </c>
      <c r="D4" s="15">
        <f t="shared" ref="D4:D9" si="0">B4-$B$12</f>
        <v>9.701666666666668</v>
      </c>
      <c r="E4" s="12">
        <f t="shared" ref="E4:E9" si="1">C4-$C$12</f>
        <v>0.79767957300525083</v>
      </c>
      <c r="F4" s="12">
        <f t="shared" ref="F4:F9" si="2">D4*E4</f>
        <v>7.7388213241059427</v>
      </c>
      <c r="G4" s="15">
        <f t="shared" ref="G4:G9" si="3">D4^2</f>
        <v>94.122336111111139</v>
      </c>
      <c r="H4" s="12">
        <f t="shared" ref="H4:H9" si="4">$B$15+$B$14*B4</f>
        <v>4.2842539675151965</v>
      </c>
      <c r="I4" s="12">
        <f t="shared" ref="I4:I9" si="5">C4-H4</f>
        <v>0.14656283132811687</v>
      </c>
      <c r="J4" s="12">
        <f t="shared" ref="J4:J9" si="6">I4^2</f>
        <v>2.1480663526914037E-2</v>
      </c>
    </row>
    <row r="5" spans="1:10" x14ac:dyDescent="0.25">
      <c r="A5" s="4" t="s">
        <v>20</v>
      </c>
      <c r="B5" s="14">
        <f>'1_Du_lieu'!I4</f>
        <v>15.82</v>
      </c>
      <c r="C5" s="12">
        <f>LN('1_Du_lieu'!D4)</f>
        <v>3.9318256327243257</v>
      </c>
      <c r="D5" s="15">
        <f t="shared" si="0"/>
        <v>2.94166666666667</v>
      </c>
      <c r="E5" s="12">
        <f t="shared" si="1"/>
        <v>0.29868840688626319</v>
      </c>
      <c r="F5" s="12">
        <f t="shared" si="2"/>
        <v>0.87864173025709191</v>
      </c>
      <c r="G5" s="15">
        <f t="shared" si="3"/>
        <v>8.6534027777777975</v>
      </c>
      <c r="H5" s="12">
        <f t="shared" si="4"/>
        <v>3.8305639650684595</v>
      </c>
      <c r="I5" s="12">
        <f t="shared" si="5"/>
        <v>0.10126166765586619</v>
      </c>
      <c r="J5" s="12">
        <f t="shared" si="6"/>
        <v>1.0253925336447098E-2</v>
      </c>
    </row>
    <row r="6" spans="1:10" x14ac:dyDescent="0.25">
      <c r="A6" s="4" t="s">
        <v>22</v>
      </c>
      <c r="B6" s="14">
        <f>'1_Du_lieu'!I5</f>
        <v>19.88</v>
      </c>
      <c r="C6" s="12">
        <f>LN('1_Du_lieu'!D5)</f>
        <v>3.8501476017100584</v>
      </c>
      <c r="D6" s="15">
        <f t="shared" si="0"/>
        <v>7.0016666666666687</v>
      </c>
      <c r="E6" s="12">
        <f t="shared" si="1"/>
        <v>0.2170103758719959</v>
      </c>
      <c r="F6" s="12">
        <f t="shared" si="2"/>
        <v>1.5194343150637584</v>
      </c>
      <c r="G6" s="15">
        <f t="shared" si="3"/>
        <v>49.023336111111142</v>
      </c>
      <c r="H6" s="12">
        <f t="shared" si="4"/>
        <v>4.1030464221592515</v>
      </c>
      <c r="I6" s="12">
        <f t="shared" si="5"/>
        <v>-0.2528988204491931</v>
      </c>
      <c r="J6" s="12">
        <f t="shared" si="6"/>
        <v>6.3957813384593207E-2</v>
      </c>
    </row>
    <row r="7" spans="1:10" x14ac:dyDescent="0.25">
      <c r="A7" s="4" t="s">
        <v>25</v>
      </c>
      <c r="B7" s="14">
        <f>'1_Du_lieu'!I6</f>
        <v>8.5399999999999991</v>
      </c>
      <c r="C7" s="12">
        <f>LN('1_Du_lieu'!D6)</f>
        <v>3.3322045101752038</v>
      </c>
      <c r="D7" s="15">
        <f t="shared" si="0"/>
        <v>-4.3383333333333312</v>
      </c>
      <c r="E7" s="12">
        <f t="shared" si="1"/>
        <v>-0.30093271566285873</v>
      </c>
      <c r="F7" s="12">
        <f t="shared" si="2"/>
        <v>1.3055464314507015</v>
      </c>
      <c r="G7" s="15">
        <f t="shared" si="3"/>
        <v>18.821136111111091</v>
      </c>
      <c r="H7" s="12">
        <f t="shared" si="4"/>
        <v>3.3419747316642816</v>
      </c>
      <c r="I7" s="12">
        <f t="shared" si="5"/>
        <v>-9.7702214890778016E-3</v>
      </c>
      <c r="J7" s="12">
        <f t="shared" si="6"/>
        <v>9.5457227945637657E-5</v>
      </c>
    </row>
    <row r="8" spans="1:10" x14ac:dyDescent="0.25">
      <c r="A8" s="4" t="s">
        <v>27</v>
      </c>
      <c r="B8" s="14">
        <f>'1_Du_lieu'!I7</f>
        <v>5.99</v>
      </c>
      <c r="C8" s="12">
        <f>LN('1_Du_lieu'!D7)</f>
        <v>3.2580965380214821</v>
      </c>
      <c r="D8" s="15">
        <f t="shared" si="0"/>
        <v>-6.8883333333333301</v>
      </c>
      <c r="E8" s="12">
        <f t="shared" si="1"/>
        <v>-0.3750406878165804</v>
      </c>
      <c r="F8" s="12">
        <f t="shared" si="2"/>
        <v>2.5834052712432101</v>
      </c>
      <c r="G8" s="15">
        <f t="shared" si="3"/>
        <v>47.449136111111066</v>
      </c>
      <c r="H8" s="12">
        <f t="shared" si="4"/>
        <v>3.1708342721614446</v>
      </c>
      <c r="I8" s="12">
        <f t="shared" si="5"/>
        <v>8.7262265860037491E-2</v>
      </c>
      <c r="J8" s="12">
        <f t="shared" si="6"/>
        <v>7.6147030430278647E-3</v>
      </c>
    </row>
    <row r="9" spans="1:10" x14ac:dyDescent="0.25">
      <c r="A9" s="4" t="s">
        <v>29</v>
      </c>
      <c r="B9" s="14">
        <f>'1_Du_lieu'!I8</f>
        <v>4.46</v>
      </c>
      <c r="C9" s="12">
        <f>LN('1_Du_lieu'!D8)</f>
        <v>2.9957322735539909</v>
      </c>
      <c r="D9" s="15">
        <f t="shared" si="0"/>
        <v>-8.4183333333333294</v>
      </c>
      <c r="E9" s="12">
        <f t="shared" si="1"/>
        <v>-0.63740495228407168</v>
      </c>
      <c r="F9" s="12">
        <f t="shared" si="2"/>
        <v>5.3658873566447411</v>
      </c>
      <c r="G9" s="15">
        <f t="shared" si="3"/>
        <v>70.868336111111049</v>
      </c>
      <c r="H9" s="12">
        <f t="shared" si="4"/>
        <v>3.0681499964597423</v>
      </c>
      <c r="I9" s="12">
        <f t="shared" si="5"/>
        <v>-7.2417722905751436E-2</v>
      </c>
      <c r="J9" s="12">
        <f t="shared" si="6"/>
        <v>5.244326590854196E-3</v>
      </c>
    </row>
    <row r="12" spans="1:10" x14ac:dyDescent="0.25">
      <c r="A12" s="11" t="s">
        <v>50</v>
      </c>
      <c r="B12" s="15">
        <f>AVERAGE(B4:B9)</f>
        <v>12.87833333333333</v>
      </c>
      <c r="C12" s="12">
        <f>AVERAGE(C4:C9)</f>
        <v>3.6331372258380625</v>
      </c>
      <c r="F12" s="12">
        <f>SUM(F4:F9)</f>
        <v>19.391736428765448</v>
      </c>
      <c r="G12" s="15">
        <f>SUM(G4:G9)</f>
        <v>288.93768333333327</v>
      </c>
      <c r="J12" s="12">
        <f>SUM(J4:J9)</f>
        <v>0.10864688910978203</v>
      </c>
    </row>
    <row r="14" spans="1:10" x14ac:dyDescent="0.25">
      <c r="A14" s="11" t="s">
        <v>134</v>
      </c>
      <c r="B14" s="13">
        <f>F12/G12</f>
        <v>6.7113905687387093E-2</v>
      </c>
      <c r="C14" s="4" t="s">
        <v>135</v>
      </c>
      <c r="D14" s="12">
        <f>SLOPE(C4:C9,B4:B9)</f>
        <v>6.7113905687387093E-2</v>
      </c>
    </row>
    <row r="15" spans="1:10" x14ac:dyDescent="0.25">
      <c r="A15" s="11" t="s">
        <v>136</v>
      </c>
      <c r="B15" s="13">
        <f>C12-B14*B12</f>
        <v>2.7688219770939959</v>
      </c>
      <c r="C15" s="4" t="s">
        <v>137</v>
      </c>
      <c r="D15" s="12">
        <f>INTERCEPT(C4:C9,B4:B9)</f>
        <v>2.7688219770939959</v>
      </c>
    </row>
    <row r="16" spans="1:10" x14ac:dyDescent="0.25">
      <c r="A16" s="11" t="s">
        <v>138</v>
      </c>
      <c r="B16" s="16">
        <f>1-J12/SUMSQ(E4:E9)</f>
        <v>0.92295104568943021</v>
      </c>
      <c r="C16" s="4" t="s">
        <v>139</v>
      </c>
      <c r="D16" s="15">
        <f>RSQ(C4:C9,B4:B9)</f>
        <v>0.92295104568943043</v>
      </c>
    </row>
    <row r="17" spans="1:8" x14ac:dyDescent="0.25">
      <c r="A17" s="11" t="s">
        <v>140</v>
      </c>
      <c r="B17" s="12">
        <f>INDEX(LINEST(C4:C9,B4:B9,TRUE,TRUE),2,1)</f>
        <v>9.6956417250134239E-3</v>
      </c>
    </row>
    <row r="18" spans="1:8" x14ac:dyDescent="0.25">
      <c r="A18" s="11" t="s">
        <v>141</v>
      </c>
      <c r="B18" s="19">
        <f>B14/B17</f>
        <v>6.9220694814085837</v>
      </c>
    </row>
    <row r="19" spans="1:8" x14ac:dyDescent="0.25">
      <c r="A19" s="11" t="s">
        <v>142</v>
      </c>
      <c r="B19" s="13">
        <f>_xlfn.T.DIST.2T(ABS(B18),COUNT(B4:B9)-2)</f>
        <v>2.2859914265377724E-3</v>
      </c>
    </row>
    <row r="20" spans="1:8" x14ac:dyDescent="0.25">
      <c r="A20" s="11" t="s">
        <v>143</v>
      </c>
      <c r="B20" s="18">
        <f>(EXP(B14)-1)*100</f>
        <v>6.9417283948115083</v>
      </c>
    </row>
    <row r="22" spans="1:8" ht="30" customHeight="1" x14ac:dyDescent="0.25">
      <c r="A22" s="22" t="s">
        <v>144</v>
      </c>
      <c r="B22" s="21"/>
      <c r="C22" s="21"/>
      <c r="D22" s="21"/>
      <c r="E22" s="21"/>
      <c r="F22" s="21"/>
      <c r="G22" s="21"/>
      <c r="H22" s="21"/>
    </row>
  </sheetData>
  <mergeCells count="2">
    <mergeCell ref="A2:H2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workbookViewId="0"/>
  </sheetViews>
  <sheetFormatPr defaultRowHeight="15" x14ac:dyDescent="0.25"/>
  <cols>
    <col min="1" max="1" width="40" customWidth="1"/>
    <col min="2" max="2" width="16" customWidth="1"/>
    <col min="3" max="3" width="18" customWidth="1"/>
    <col min="4" max="4" width="70" customWidth="1"/>
  </cols>
  <sheetData>
    <row r="1" spans="1:8" ht="17.25" x14ac:dyDescent="0.3">
      <c r="A1" s="2" t="s">
        <v>145</v>
      </c>
    </row>
    <row r="2" spans="1:8" ht="30" customHeight="1" x14ac:dyDescent="0.25">
      <c r="A2" s="22" t="s">
        <v>146</v>
      </c>
      <c r="B2" s="21"/>
      <c r="C2" s="21"/>
      <c r="D2" s="21"/>
      <c r="E2" s="21"/>
      <c r="F2" s="21"/>
      <c r="G2" s="21"/>
      <c r="H2" s="21"/>
    </row>
    <row r="3" spans="1:8" x14ac:dyDescent="0.25">
      <c r="A3" s="3" t="s">
        <v>7</v>
      </c>
      <c r="B3" s="3" t="s">
        <v>58</v>
      </c>
      <c r="C3" s="3" t="s">
        <v>127</v>
      </c>
      <c r="D3" s="3" t="s">
        <v>128</v>
      </c>
    </row>
    <row r="4" spans="1:8" x14ac:dyDescent="0.25">
      <c r="A4" s="4" t="s">
        <v>17</v>
      </c>
      <c r="B4" s="5" t="s">
        <v>19</v>
      </c>
      <c r="C4" s="14">
        <f>'1_Du_lieu'!I3</f>
        <v>22.58</v>
      </c>
      <c r="D4" s="12">
        <f>LN('1_Du_lieu'!D3)</f>
        <v>4.4308167988433134</v>
      </c>
    </row>
    <row r="5" spans="1:8" x14ac:dyDescent="0.25">
      <c r="A5" s="4" t="s">
        <v>20</v>
      </c>
      <c r="B5" s="5" t="s">
        <v>19</v>
      </c>
      <c r="C5" s="14">
        <f>'1_Du_lieu'!I4</f>
        <v>15.82</v>
      </c>
      <c r="D5" s="12">
        <f>LN('1_Du_lieu'!D4)</f>
        <v>3.9318256327243257</v>
      </c>
    </row>
    <row r="6" spans="1:8" x14ac:dyDescent="0.25">
      <c r="A6" s="4" t="s">
        <v>22</v>
      </c>
      <c r="B6" s="5" t="s">
        <v>24</v>
      </c>
      <c r="C6" s="14">
        <f>'1_Du_lieu'!I5</f>
        <v>19.88</v>
      </c>
      <c r="D6" s="12">
        <f>LN('1_Du_lieu'!D5)</f>
        <v>3.8501476017100584</v>
      </c>
    </row>
    <row r="7" spans="1:8" x14ac:dyDescent="0.25">
      <c r="A7" s="4" t="s">
        <v>25</v>
      </c>
      <c r="B7" s="5" t="s">
        <v>24</v>
      </c>
      <c r="C7" s="14">
        <f>'1_Du_lieu'!I6</f>
        <v>8.5399999999999991</v>
      </c>
      <c r="D7" s="12">
        <f>LN('1_Du_lieu'!D6)</f>
        <v>3.3322045101752038</v>
      </c>
    </row>
    <row r="8" spans="1:8" x14ac:dyDescent="0.25">
      <c r="A8" s="4" t="s">
        <v>27</v>
      </c>
      <c r="B8" s="5" t="s">
        <v>24</v>
      </c>
      <c r="C8" s="14">
        <f>'1_Du_lieu'!I7</f>
        <v>5.99</v>
      </c>
      <c r="D8" s="12">
        <f>LN('1_Du_lieu'!D7)</f>
        <v>3.2580965380214821</v>
      </c>
    </row>
    <row r="9" spans="1:8" x14ac:dyDescent="0.25">
      <c r="A9" s="4" t="s">
        <v>29</v>
      </c>
      <c r="B9" s="5" t="s">
        <v>24</v>
      </c>
      <c r="C9" s="14">
        <f>'1_Du_lieu'!I8</f>
        <v>4.46</v>
      </c>
      <c r="D9" s="12">
        <f>LN('1_Du_lieu'!D8)</f>
        <v>2.9957322735539909</v>
      </c>
    </row>
    <row r="11" spans="1:8" x14ac:dyDescent="0.25">
      <c r="A11" s="3" t="s">
        <v>147</v>
      </c>
      <c r="B11" s="3" t="s">
        <v>148</v>
      </c>
      <c r="C11" s="3" t="s">
        <v>149</v>
      </c>
      <c r="D11" s="3" t="s">
        <v>150</v>
      </c>
    </row>
    <row r="12" spans="1:8" x14ac:dyDescent="0.25">
      <c r="A12" s="11" t="s">
        <v>151</v>
      </c>
      <c r="B12" s="15">
        <f>AVERAGEIF($B$4:$B$9,"Lõi",$C$4:$C$9)</f>
        <v>19.2</v>
      </c>
      <c r="C12" s="15">
        <f>AVERAGEIF($B$4:$B$9,"Ngoại vi",$C$4:$C$9)</f>
        <v>9.7174999999999994</v>
      </c>
    </row>
    <row r="13" spans="1:8" x14ac:dyDescent="0.25">
      <c r="A13" s="11" t="s">
        <v>152</v>
      </c>
      <c r="B13" s="12">
        <f>AVERAGEIF($B$4:$B$9,"Lõi",$D$4:$D$9)</f>
        <v>4.1813212157838198</v>
      </c>
      <c r="C13" s="12">
        <f>AVERAGEIF($B$4:$B$9,"Ngoại vi",$D$4:$D$9)</f>
        <v>3.3590452308651835</v>
      </c>
    </row>
    <row r="14" spans="1:8" x14ac:dyDescent="0.25">
      <c r="A14" s="11" t="s">
        <v>153</v>
      </c>
      <c r="B14" s="12">
        <f>SLOPE(D4:D5,C4:C5)</f>
        <v>7.3815261260205295E-2</v>
      </c>
      <c r="C14" s="12">
        <f>SLOPE(D6:D9,C6:C9)</f>
        <v>4.9992566050788056E-2</v>
      </c>
      <c r="D14" s="4" t="s">
        <v>154</v>
      </c>
    </row>
    <row r="15" spans="1:8" x14ac:dyDescent="0.25">
      <c r="A15" s="11" t="s">
        <v>155</v>
      </c>
      <c r="B15" s="12">
        <f>INTERCEPT(D4:D5,C4:C5)</f>
        <v>2.7640681995878782</v>
      </c>
      <c r="C15" s="12">
        <f>INTERCEPT(D6:D9,C6:C9)</f>
        <v>2.8732424702666508</v>
      </c>
    </row>
    <row r="17" spans="1:8" x14ac:dyDescent="0.25">
      <c r="A17" s="11" t="s">
        <v>156</v>
      </c>
      <c r="B17" s="13">
        <f>B13-C13</f>
        <v>0.82227598491863629</v>
      </c>
      <c r="D17" s="10" t="str">
        <f>TEXT((EXP(B17)-1)*100,"0")&amp;"% – EBI vùng lõi cao hơn ngoại vi chừng này (e^khoảng cách − 1)"</f>
        <v>128% – EBI vùng lõi cao hơn ngoại vi chừng này (e^khoảng cách − 1)</v>
      </c>
    </row>
    <row r="18" spans="1:8" x14ac:dyDescent="0.25">
      <c r="A18" s="11" t="s">
        <v>157</v>
      </c>
      <c r="B18" s="13">
        <f>(B12-C12)*B14</f>
        <v>0.6999532148998967</v>
      </c>
      <c r="D18" s="4" t="s">
        <v>158</v>
      </c>
    </row>
    <row r="19" spans="1:8" x14ac:dyDescent="0.25">
      <c r="A19" s="11" t="s">
        <v>159</v>
      </c>
      <c r="B19" s="13">
        <f>B17-B18</f>
        <v>0.12232277001873959</v>
      </c>
      <c r="D19" s="4" t="s">
        <v>160</v>
      </c>
    </row>
    <row r="20" spans="1:8" x14ac:dyDescent="0.25">
      <c r="A20" s="11" t="s">
        <v>161</v>
      </c>
      <c r="B20" s="18">
        <f>B18/B17*100</f>
        <v>85.123879054932715</v>
      </c>
    </row>
    <row r="21" spans="1:8" x14ac:dyDescent="0.25">
      <c r="A21" s="11" t="s">
        <v>162</v>
      </c>
      <c r="B21" s="18">
        <f>B19/B17*100</f>
        <v>14.876120945067289</v>
      </c>
    </row>
    <row r="22" spans="1:8" x14ac:dyDescent="0.25">
      <c r="A22" s="11" t="s">
        <v>163</v>
      </c>
      <c r="B22" s="12">
        <f>B18+B19</f>
        <v>0.82227598491863629</v>
      </c>
      <c r="C22" s="10" t="str">
        <f>IF(ABS(B22-B17)&lt;0.00001,"✓","✗")</f>
        <v>✓</v>
      </c>
    </row>
    <row r="24" spans="1:8" ht="30" customHeight="1" x14ac:dyDescent="0.25">
      <c r="A24" s="22" t="s">
        <v>164</v>
      </c>
      <c r="B24" s="21"/>
      <c r="C24" s="21"/>
      <c r="D24" s="21"/>
      <c r="E24" s="21"/>
      <c r="F24" s="21"/>
      <c r="G24" s="21"/>
      <c r="H24" s="21"/>
    </row>
  </sheetData>
  <mergeCells count="2">
    <mergeCell ref="A24:H24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0_Huong_dan</vt:lpstr>
      <vt:lpstr>1_Du_lieu</vt:lpstr>
      <vt:lpstr>2_EBI_tuong_doi</vt:lpstr>
      <vt:lpstr>3_Gini</vt:lpstr>
      <vt:lpstr>4_CV_sigma</vt:lpstr>
      <vt:lpstr>5_Theil_phan_ra</vt:lpstr>
      <vt:lpstr>6_Gini_tru_cot</vt:lpstr>
      <vt:lpstr>7_Beta_hoi_tu</vt:lpstr>
      <vt:lpstr>8_OLS</vt:lpstr>
      <vt:lpstr>9_Oaxaca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Nguyễn</cp:lastModifiedBy>
  <dcterms:created xsi:type="dcterms:W3CDTF">2026-09-12T05:06:51Z</dcterms:created>
  <dcterms:modified xsi:type="dcterms:W3CDTF">2026-09-12T05:07:15Z</dcterms:modified>
</cp:coreProperties>
</file>